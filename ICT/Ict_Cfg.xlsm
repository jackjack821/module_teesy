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55" yWindow="360" windowWidth="13845" windowHeight="7545" activeTab="1"/>
  </bookViews>
  <sheets>
    <sheet name="Layout" sheetId="1" r:id="rId1"/>
    <sheet name="Configuration" sheetId="2" r:id="rId2"/>
  </sheets>
  <functionGroups builtInGroupCount="17"/>
  <definedNames>
    <definedName name="_isDegF">Configuration!$Y$10</definedName>
    <definedName name="abc">Layout!$K$7</definedName>
    <definedName name="AmbientTemp">Configuration!$U$141:$U$148</definedName>
    <definedName name="DampingFactorX">Configuration!$U$191:$U$200</definedName>
    <definedName name="DampingFactorY">Configuration!$V$191:$V$200</definedName>
    <definedName name="DynamicFactorTbl_X">Configuration!$U$171:$U$184</definedName>
    <definedName name="DynamicFactorTbl_Y">Configuration!$V$171:$V$184</definedName>
    <definedName name="DynamicMaxTbl_X">Configuration!$U$151:$U$168</definedName>
    <definedName name="DynamicMaxTbl_Y">Configuration!$V$151:$V$168</definedName>
    <definedName name="Fill">Layout!$K$7</definedName>
    <definedName name="MacroDefine">Configuration!$V$44:$V$72</definedName>
    <definedName name="ModuleID">Configuration!$U$9</definedName>
    <definedName name="_xlnm.Print_Area" localSheetId="1">Configuration!$B$1:$H$221</definedName>
    <definedName name="_xlnm.Print_Area" localSheetId="0">Layout!$A$1:$I$285</definedName>
    <definedName name="_xlnm.Print_Titles" localSheetId="0">Layout!$13:$14</definedName>
    <definedName name="SensorValueX">Configuration!$U$203:$U$220</definedName>
    <definedName name="SensorValueY">Configuration!$V$203:$V$220</definedName>
    <definedName name="StaticOffsetTbl_X">Configuration!$U$80:$U$93</definedName>
    <definedName name="StaticOffsetTbl_Y0">Configuration!$V$80:$V$93</definedName>
    <definedName name="StaticOffsetTbl_Y1">Configuration!$V$95:$V$108</definedName>
    <definedName name="StaticOffsetTbl_Y2">Configuration!$V$110:$V$123</definedName>
    <definedName name="StaticOffsetTbl_Y3">Configuration!$V$125:$V$138</definedName>
    <definedName name="VariableCofng">Configuration!$U$6</definedName>
  </definedNames>
  <calcPr calcId="145621"/>
</workbook>
</file>

<file path=xl/calcChain.xml><?xml version="1.0" encoding="utf-8"?>
<calcChain xmlns="http://schemas.openxmlformats.org/spreadsheetml/2006/main">
  <c r="A70" i="1" l="1"/>
  <c r="B70" i="1"/>
  <c r="A71" i="1"/>
  <c r="A72" i="1" s="1"/>
  <c r="B71" i="1"/>
  <c r="H68" i="1"/>
  <c r="H69" i="1"/>
  <c r="H70" i="1"/>
  <c r="H71" i="1"/>
  <c r="H72" i="1"/>
  <c r="H60" i="1"/>
  <c r="H61" i="1"/>
  <c r="H62" i="1"/>
  <c r="H63" i="1"/>
  <c r="H64" i="1"/>
  <c r="H65" i="1"/>
  <c r="H66" i="1"/>
  <c r="H67" i="1"/>
  <c r="V137" i="2"/>
  <c r="V138" i="2" s="1"/>
  <c r="V122" i="2"/>
  <c r="V123" i="2" s="1"/>
  <c r="V107" i="2"/>
  <c r="V108" i="2" s="1"/>
  <c r="G100" i="2"/>
  <c r="G101" i="2"/>
  <c r="G115" i="2"/>
  <c r="G116" i="2"/>
  <c r="G130" i="2"/>
  <c r="G131" i="2"/>
  <c r="V92" i="2"/>
  <c r="V93" i="2" s="1"/>
  <c r="U92" i="2"/>
  <c r="U93" i="2" s="1"/>
  <c r="G85" i="2"/>
  <c r="G86" i="2"/>
  <c r="D85" i="2"/>
  <c r="D86" i="2"/>
  <c r="H85" i="1" l="1"/>
  <c r="B72" i="1"/>
  <c r="A73" i="1"/>
  <c r="H273" i="1"/>
  <c r="H272" i="1"/>
  <c r="H271" i="1"/>
  <c r="H270" i="1"/>
  <c r="H269" i="1"/>
  <c r="H268" i="1"/>
  <c r="H267" i="1"/>
  <c r="H266" i="1"/>
  <c r="A74" i="1" l="1"/>
  <c r="B73" i="1"/>
  <c r="G129" i="2"/>
  <c r="G128" i="2"/>
  <c r="G127" i="2"/>
  <c r="G126" i="2"/>
  <c r="G125" i="2"/>
  <c r="G114" i="2"/>
  <c r="G113" i="2"/>
  <c r="G112" i="2"/>
  <c r="G111" i="2"/>
  <c r="G110" i="2"/>
  <c r="G99" i="2"/>
  <c r="G98" i="2"/>
  <c r="G97" i="2"/>
  <c r="G96" i="2"/>
  <c r="G95" i="2"/>
  <c r="G82" i="2"/>
  <c r="G83" i="2"/>
  <c r="G84" i="2"/>
  <c r="G81" i="2"/>
  <c r="G80" i="2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A16" i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G195" i="2"/>
  <c r="G193" i="2"/>
  <c r="G194" i="2"/>
  <c r="G192" i="2"/>
  <c r="G191" i="2"/>
  <c r="H204" i="1"/>
  <c r="H205" i="1"/>
  <c r="H206" i="1"/>
  <c r="H207" i="1"/>
  <c r="H208" i="1"/>
  <c r="H209" i="1"/>
  <c r="H210" i="1"/>
  <c r="H211" i="1"/>
  <c r="H212" i="1"/>
  <c r="H203" i="1"/>
  <c r="H194" i="1"/>
  <c r="H195" i="1"/>
  <c r="H196" i="1"/>
  <c r="H197" i="1"/>
  <c r="H198" i="1"/>
  <c r="H199" i="1"/>
  <c r="H200" i="1"/>
  <c r="H201" i="1"/>
  <c r="H202" i="1"/>
  <c r="H193" i="1"/>
  <c r="D195" i="2"/>
  <c r="D194" i="2"/>
  <c r="D193" i="2"/>
  <c r="D192" i="2"/>
  <c r="D191" i="2"/>
  <c r="A75" i="1" l="1"/>
  <c r="B74" i="1"/>
  <c r="G171" i="2"/>
  <c r="V183" i="2"/>
  <c r="U183" i="2"/>
  <c r="V181" i="2"/>
  <c r="U181" i="2"/>
  <c r="V179" i="2"/>
  <c r="U179" i="2"/>
  <c r="V177" i="2"/>
  <c r="U177" i="2"/>
  <c r="G177" i="2"/>
  <c r="D177" i="2"/>
  <c r="G176" i="2"/>
  <c r="D176" i="2"/>
  <c r="V175" i="2"/>
  <c r="U175" i="2"/>
  <c r="G175" i="2"/>
  <c r="D175" i="2"/>
  <c r="G174" i="2"/>
  <c r="D174" i="2"/>
  <c r="V173" i="2"/>
  <c r="U173" i="2"/>
  <c r="G173" i="2"/>
  <c r="D173" i="2"/>
  <c r="G172" i="2"/>
  <c r="D172" i="2"/>
  <c r="V171" i="2"/>
  <c r="U171" i="2"/>
  <c r="D171" i="2"/>
  <c r="A76" i="1" l="1"/>
  <c r="B75" i="1"/>
  <c r="V178" i="2"/>
  <c r="H186" i="1" s="1"/>
  <c r="H185" i="1"/>
  <c r="V172" i="2"/>
  <c r="H180" i="1" s="1"/>
  <c r="H179" i="1"/>
  <c r="V176" i="2"/>
  <c r="H184" i="1" s="1"/>
  <c r="H183" i="1"/>
  <c r="V180" i="2"/>
  <c r="H188" i="1" s="1"/>
  <c r="H187" i="1"/>
  <c r="V184" i="2"/>
  <c r="H192" i="1" s="1"/>
  <c r="H191" i="1"/>
  <c r="U174" i="2"/>
  <c r="H168" i="1" s="1"/>
  <c r="H167" i="1"/>
  <c r="U178" i="2"/>
  <c r="H172" i="1" s="1"/>
  <c r="H171" i="1"/>
  <c r="U182" i="2"/>
  <c r="H176" i="1" s="1"/>
  <c r="H175" i="1"/>
  <c r="V174" i="2"/>
  <c r="H182" i="1" s="1"/>
  <c r="H181" i="1"/>
  <c r="V182" i="2"/>
  <c r="H190" i="1" s="1"/>
  <c r="H189" i="1"/>
  <c r="U172" i="2"/>
  <c r="H166" i="1" s="1"/>
  <c r="H165" i="1"/>
  <c r="U176" i="2"/>
  <c r="H170" i="1" s="1"/>
  <c r="H169" i="1"/>
  <c r="U180" i="2"/>
  <c r="H174" i="1" s="1"/>
  <c r="H173" i="1"/>
  <c r="U184" i="2"/>
  <c r="H178" i="1" s="1"/>
  <c r="H177" i="1"/>
  <c r="G157" i="2"/>
  <c r="G153" i="2"/>
  <c r="G154" i="2"/>
  <c r="G155" i="2"/>
  <c r="G156" i="2"/>
  <c r="G152" i="2"/>
  <c r="G151" i="2"/>
  <c r="B76" i="1" l="1"/>
  <c r="A77" i="1"/>
  <c r="H1038" i="1"/>
  <c r="H1037" i="1"/>
  <c r="H1036" i="1"/>
  <c r="H1035" i="1"/>
  <c r="H1034" i="1"/>
  <c r="A78" i="1" l="1"/>
  <c r="B77" i="1"/>
  <c r="U147" i="2"/>
  <c r="H135" i="1" s="1"/>
  <c r="U145" i="2"/>
  <c r="H133" i="1" s="1"/>
  <c r="B78" i="1" l="1"/>
  <c r="A79" i="1"/>
  <c r="U146" i="2"/>
  <c r="H134" i="1" s="1"/>
  <c r="U148" i="2"/>
  <c r="H136" i="1" s="1"/>
  <c r="G211" i="2"/>
  <c r="G205" i="2"/>
  <c r="G206" i="2"/>
  <c r="G207" i="2"/>
  <c r="G208" i="2"/>
  <c r="G209" i="2"/>
  <c r="G210" i="2"/>
  <c r="G204" i="2"/>
  <c r="G203" i="2"/>
  <c r="R204" i="2"/>
  <c r="D204" i="2" s="1"/>
  <c r="R205" i="2"/>
  <c r="D205" i="2" s="1"/>
  <c r="R206" i="2"/>
  <c r="D206" i="2" s="1"/>
  <c r="R207" i="2"/>
  <c r="D207" i="2" s="1"/>
  <c r="R208" i="2"/>
  <c r="D208" i="2" s="1"/>
  <c r="R209" i="2"/>
  <c r="D209" i="2" s="1"/>
  <c r="R210" i="2"/>
  <c r="D210" i="2" s="1"/>
  <c r="R211" i="2"/>
  <c r="D211" i="2" s="1"/>
  <c r="R203" i="2"/>
  <c r="D203" i="2" s="1"/>
  <c r="A80" i="1" l="1"/>
  <c r="B79" i="1"/>
  <c r="D153" i="2"/>
  <c r="D154" i="2"/>
  <c r="D155" i="2"/>
  <c r="D156" i="2"/>
  <c r="D157" i="2"/>
  <c r="D152" i="2"/>
  <c r="D151" i="2"/>
  <c r="V135" i="2"/>
  <c r="V133" i="2"/>
  <c r="H123" i="1" s="1"/>
  <c r="V131" i="2"/>
  <c r="H121" i="1" s="1"/>
  <c r="V129" i="2"/>
  <c r="H119" i="1" s="1"/>
  <c r="V127" i="2"/>
  <c r="V125" i="2"/>
  <c r="D143" i="2"/>
  <c r="D144" i="2"/>
  <c r="D82" i="2"/>
  <c r="D83" i="2"/>
  <c r="D84" i="2"/>
  <c r="D81" i="2"/>
  <c r="D80" i="2"/>
  <c r="B80" i="1" l="1"/>
  <c r="A81" i="1"/>
  <c r="V130" i="2"/>
  <c r="H120" i="1" s="1"/>
  <c r="V136" i="2"/>
  <c r="H128" i="1" s="1"/>
  <c r="H127" i="1"/>
  <c r="V128" i="2"/>
  <c r="H118" i="1" s="1"/>
  <c r="H117" i="1"/>
  <c r="V126" i="2"/>
  <c r="H116" i="1" s="1"/>
  <c r="H115" i="1"/>
  <c r="V132" i="2"/>
  <c r="H122" i="1" s="1"/>
  <c r="V134" i="2"/>
  <c r="H125" i="1"/>
  <c r="F242" i="1"/>
  <c r="F243" i="1"/>
  <c r="V72" i="2"/>
  <c r="G72" i="2" s="1"/>
  <c r="H72" i="2" s="1"/>
  <c r="H126" i="1" l="1"/>
  <c r="H124" i="1"/>
  <c r="A82" i="1"/>
  <c r="B81" i="1"/>
  <c r="H243" i="1"/>
  <c r="H240" i="1"/>
  <c r="F240" i="1"/>
  <c r="V69" i="2"/>
  <c r="G69" i="2" s="1"/>
  <c r="V71" i="2"/>
  <c r="H242" i="1" s="1"/>
  <c r="B82" i="1" l="1"/>
  <c r="A83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V120" i="2"/>
  <c r="H111" i="1" s="1"/>
  <c r="V118" i="2"/>
  <c r="V116" i="2"/>
  <c r="H107" i="1" s="1"/>
  <c r="V114" i="2"/>
  <c r="V112" i="2"/>
  <c r="V110" i="2"/>
  <c r="V111" i="2" s="1"/>
  <c r="H102" i="1" s="1"/>
  <c r="V105" i="2"/>
  <c r="V103" i="2"/>
  <c r="V101" i="2"/>
  <c r="H93" i="1" s="1"/>
  <c r="V99" i="2"/>
  <c r="V100" i="2" s="1"/>
  <c r="H92" i="1" s="1"/>
  <c r="V97" i="2"/>
  <c r="V95" i="2"/>
  <c r="V96" i="2" s="1"/>
  <c r="H88" i="1" s="1"/>
  <c r="V119" i="2" l="1"/>
  <c r="H109" i="1"/>
  <c r="V115" i="2"/>
  <c r="H106" i="1" s="1"/>
  <c r="H105" i="1"/>
  <c r="V104" i="2"/>
  <c r="H95" i="1"/>
  <c r="A84" i="1"/>
  <c r="B83" i="1"/>
  <c r="V102" i="2"/>
  <c r="V106" i="2"/>
  <c r="H100" i="1" s="1"/>
  <c r="H99" i="1"/>
  <c r="V113" i="2"/>
  <c r="H104" i="1" s="1"/>
  <c r="H103" i="1"/>
  <c r="V98" i="2"/>
  <c r="H90" i="1" s="1"/>
  <c r="H89" i="1"/>
  <c r="V117" i="2"/>
  <c r="H108" i="1" s="1"/>
  <c r="V121" i="2"/>
  <c r="H114" i="1" s="1"/>
  <c r="H113" i="1"/>
  <c r="H97" i="1"/>
  <c r="H91" i="1"/>
  <c r="H87" i="1"/>
  <c r="H101" i="1"/>
  <c r="H335" i="1"/>
  <c r="H334" i="1"/>
  <c r="H333" i="1"/>
  <c r="H332" i="1"/>
  <c r="H331" i="1"/>
  <c r="H330" i="1"/>
  <c r="H329" i="1"/>
  <c r="H309" i="1"/>
  <c r="H308" i="1"/>
  <c r="H307" i="1"/>
  <c r="H306" i="1"/>
  <c r="H305" i="1"/>
  <c r="H304" i="1"/>
  <c r="H30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98" i="1" l="1"/>
  <c r="H112" i="1"/>
  <c r="H110" i="1"/>
  <c r="H96" i="1"/>
  <c r="H94" i="1"/>
  <c r="B84" i="1"/>
  <c r="A8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1" i="1"/>
  <c r="V70" i="2"/>
  <c r="H241" i="1" s="1"/>
  <c r="V68" i="2"/>
  <c r="G68" i="2" s="1"/>
  <c r="V67" i="2"/>
  <c r="G67" i="2" s="1"/>
  <c r="V66" i="2"/>
  <c r="G66" i="2" s="1"/>
  <c r="V65" i="2"/>
  <c r="G65" i="2" s="1"/>
  <c r="V64" i="2"/>
  <c r="G64" i="2" s="1"/>
  <c r="V63" i="2"/>
  <c r="G63" i="2" s="1"/>
  <c r="V62" i="2"/>
  <c r="G62" i="2" s="1"/>
  <c r="V61" i="2"/>
  <c r="G61" i="2" s="1"/>
  <c r="V60" i="2"/>
  <c r="G60" i="2" s="1"/>
  <c r="A86" i="1" l="1"/>
  <c r="B85" i="1"/>
  <c r="G71" i="2"/>
  <c r="H71" i="2" s="1"/>
  <c r="H239" i="1"/>
  <c r="H233" i="1"/>
  <c r="H231" i="1"/>
  <c r="H237" i="1"/>
  <c r="G70" i="2"/>
  <c r="H232" i="1"/>
  <c r="H238" i="1"/>
  <c r="H236" i="1"/>
  <c r="H235" i="1"/>
  <c r="H234" i="1"/>
  <c r="V59" i="2"/>
  <c r="V58" i="2"/>
  <c r="V57" i="2"/>
  <c r="V56" i="2"/>
  <c r="V55" i="2"/>
  <c r="V54" i="2"/>
  <c r="V53" i="2"/>
  <c r="V52" i="2"/>
  <c r="B86" i="1" l="1"/>
  <c r="A87" i="1"/>
  <c r="G52" i="2"/>
  <c r="H223" i="1"/>
  <c r="G56" i="2"/>
  <c r="H227" i="1"/>
  <c r="G53" i="2"/>
  <c r="H224" i="1"/>
  <c r="G57" i="2"/>
  <c r="H228" i="1"/>
  <c r="G54" i="2"/>
  <c r="H225" i="1"/>
  <c r="G58" i="2"/>
  <c r="H229" i="1"/>
  <c r="G55" i="2"/>
  <c r="H226" i="1"/>
  <c r="G59" i="2"/>
  <c r="H230" i="1"/>
  <c r="B15" i="1"/>
  <c r="B16" i="1"/>
  <c r="B18" i="1"/>
  <c r="B19" i="1"/>
  <c r="B20" i="1"/>
  <c r="B22" i="1"/>
  <c r="B23" i="1"/>
  <c r="B24" i="1"/>
  <c r="B26" i="1"/>
  <c r="B27" i="1"/>
  <c r="B28" i="1"/>
  <c r="B30" i="1"/>
  <c r="B31" i="1"/>
  <c r="B32" i="1"/>
  <c r="B34" i="1"/>
  <c r="B35" i="1"/>
  <c r="B36" i="1"/>
  <c r="B38" i="1"/>
  <c r="B39" i="1"/>
  <c r="B40" i="1"/>
  <c r="B42" i="1"/>
  <c r="B43" i="1"/>
  <c r="B44" i="1"/>
  <c r="B46" i="1"/>
  <c r="B47" i="1"/>
  <c r="B48" i="1"/>
  <c r="B50" i="1"/>
  <c r="B51" i="1"/>
  <c r="B52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H58" i="1"/>
  <c r="B53" i="1"/>
  <c r="B49" i="1"/>
  <c r="B45" i="1"/>
  <c r="B41" i="1"/>
  <c r="B37" i="1"/>
  <c r="B33" i="1"/>
  <c r="B29" i="1"/>
  <c r="B25" i="1"/>
  <c r="B21" i="1"/>
  <c r="V199" i="2"/>
  <c r="U199" i="2"/>
  <c r="V197" i="2"/>
  <c r="U197" i="2"/>
  <c r="V195" i="2"/>
  <c r="U195" i="2"/>
  <c r="V193" i="2"/>
  <c r="U193" i="2"/>
  <c r="V191" i="2"/>
  <c r="U191" i="2"/>
  <c r="V219" i="2"/>
  <c r="H53" i="1" s="1"/>
  <c r="U219" i="2"/>
  <c r="H35" i="1" s="1"/>
  <c r="V217" i="2"/>
  <c r="H51" i="1" s="1"/>
  <c r="U217" i="2"/>
  <c r="H33" i="1" s="1"/>
  <c r="V215" i="2"/>
  <c r="H49" i="1" s="1"/>
  <c r="U215" i="2"/>
  <c r="H31" i="1" s="1"/>
  <c r="V213" i="2"/>
  <c r="H47" i="1" s="1"/>
  <c r="U213" i="2"/>
  <c r="H29" i="1" s="1"/>
  <c r="V211" i="2"/>
  <c r="H45" i="1" s="1"/>
  <c r="U211" i="2"/>
  <c r="H27" i="1" s="1"/>
  <c r="V209" i="2"/>
  <c r="H43" i="1" s="1"/>
  <c r="U209" i="2"/>
  <c r="H25" i="1" s="1"/>
  <c r="V207" i="2"/>
  <c r="H41" i="1" s="1"/>
  <c r="U207" i="2"/>
  <c r="H23" i="1" s="1"/>
  <c r="V205" i="2"/>
  <c r="H39" i="1" s="1"/>
  <c r="U205" i="2"/>
  <c r="H21" i="1" s="1"/>
  <c r="V203" i="2"/>
  <c r="H37" i="1" s="1"/>
  <c r="U203" i="2"/>
  <c r="H19" i="1" s="1"/>
  <c r="U80" i="2"/>
  <c r="H59" i="1" s="1"/>
  <c r="V80" i="2"/>
  <c r="H73" i="1" s="1"/>
  <c r="U82" i="2"/>
  <c r="V82" i="2"/>
  <c r="H75" i="1" s="1"/>
  <c r="U84" i="2"/>
  <c r="V84" i="2"/>
  <c r="H77" i="1" s="1"/>
  <c r="U86" i="2"/>
  <c r="V86" i="2"/>
  <c r="H79" i="1" s="1"/>
  <c r="U88" i="2"/>
  <c r="V88" i="2"/>
  <c r="H81" i="1" s="1"/>
  <c r="U90" i="2"/>
  <c r="V90" i="2"/>
  <c r="H83" i="1" s="1"/>
  <c r="U143" i="2"/>
  <c r="H131" i="1" s="1"/>
  <c r="D142" i="2"/>
  <c r="U141" i="2"/>
  <c r="H129" i="1" s="1"/>
  <c r="D141" i="2"/>
  <c r="V163" i="2"/>
  <c r="H163" i="1" s="1"/>
  <c r="U163" i="2"/>
  <c r="H149" i="1" s="1"/>
  <c r="V161" i="2"/>
  <c r="H161" i="1" s="1"/>
  <c r="U161" i="2"/>
  <c r="H147" i="1" s="1"/>
  <c r="V159" i="2"/>
  <c r="H159" i="1" s="1"/>
  <c r="U159" i="2"/>
  <c r="H145" i="1" s="1"/>
  <c r="V157" i="2"/>
  <c r="H157" i="1" s="1"/>
  <c r="U157" i="2"/>
  <c r="H143" i="1" s="1"/>
  <c r="V155" i="2"/>
  <c r="H155" i="1" s="1"/>
  <c r="U155" i="2"/>
  <c r="H141" i="1" s="1"/>
  <c r="V153" i="2"/>
  <c r="H153" i="1" s="1"/>
  <c r="U153" i="2"/>
  <c r="H139" i="1" s="1"/>
  <c r="V151" i="2"/>
  <c r="H151" i="1" s="1"/>
  <c r="U151" i="2"/>
  <c r="H137" i="1" s="1"/>
  <c r="H18" i="1"/>
  <c r="H17" i="1"/>
  <c r="V45" i="2"/>
  <c r="H216" i="1" s="1"/>
  <c r="V46" i="2"/>
  <c r="H217" i="1" s="1"/>
  <c r="V47" i="2"/>
  <c r="H218" i="1" s="1"/>
  <c r="V48" i="2"/>
  <c r="V49" i="2"/>
  <c r="H220" i="1" s="1"/>
  <c r="V50" i="2"/>
  <c r="H221" i="1" s="1"/>
  <c r="V51" i="2"/>
  <c r="V44" i="2"/>
  <c r="H215" i="1" s="1"/>
  <c r="H258" i="1"/>
  <c r="H257" i="1"/>
  <c r="B17" i="1"/>
  <c r="F215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9" i="1"/>
  <c r="H260" i="1"/>
  <c r="H261" i="1"/>
  <c r="H262" i="1"/>
  <c r="H263" i="1"/>
  <c r="H264" i="1"/>
  <c r="H265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89" i="1"/>
  <c r="H490" i="1"/>
  <c r="H491" i="1"/>
  <c r="H492" i="1"/>
  <c r="H493" i="1"/>
  <c r="H494" i="1"/>
  <c r="H495" i="1"/>
  <c r="H496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O6" i="2"/>
  <c r="R6" i="2" s="1"/>
  <c r="U6" i="2" s="1"/>
  <c r="O9" i="2"/>
  <c r="R9" i="2" s="1"/>
  <c r="U9" i="2" s="1"/>
  <c r="G15" i="2"/>
  <c r="A88" i="1" l="1"/>
  <c r="B87" i="1"/>
  <c r="G49" i="2"/>
  <c r="V91" i="2"/>
  <c r="U216" i="2"/>
  <c r="H32" i="1" s="1"/>
  <c r="G47" i="2"/>
  <c r="V83" i="2"/>
  <c r="H76" i="1" s="1"/>
  <c r="V164" i="2"/>
  <c r="H164" i="1" s="1"/>
  <c r="V162" i="2"/>
  <c r="H162" i="1" s="1"/>
  <c r="U142" i="2"/>
  <c r="H130" i="1" s="1"/>
  <c r="U85" i="2"/>
  <c r="G45" i="2"/>
  <c r="G44" i="2"/>
  <c r="U152" i="2"/>
  <c r="H138" i="1" s="1"/>
  <c r="V194" i="2"/>
  <c r="U164" i="2"/>
  <c r="H150" i="1" s="1"/>
  <c r="U204" i="2"/>
  <c r="H20" i="1" s="1"/>
  <c r="V210" i="2"/>
  <c r="H44" i="1" s="1"/>
  <c r="U212" i="2"/>
  <c r="H28" i="1" s="1"/>
  <c r="V87" i="2"/>
  <c r="H80" i="1" s="1"/>
  <c r="V206" i="2"/>
  <c r="H40" i="1" s="1"/>
  <c r="U208" i="2"/>
  <c r="H24" i="1" s="1"/>
  <c r="U220" i="2"/>
  <c r="H36" i="1" s="1"/>
  <c r="V198" i="2"/>
  <c r="G46" i="2"/>
  <c r="V152" i="2"/>
  <c r="H152" i="1" s="1"/>
  <c r="U154" i="2"/>
  <c r="H140" i="1" s="1"/>
  <c r="V85" i="2"/>
  <c r="H78" i="1" s="1"/>
  <c r="U218" i="2"/>
  <c r="H34" i="1" s="1"/>
  <c r="V196" i="2"/>
  <c r="V89" i="2"/>
  <c r="H82" i="1" s="1"/>
  <c r="V81" i="2"/>
  <c r="H74" i="1" s="1"/>
  <c r="U214" i="2"/>
  <c r="H30" i="1" s="1"/>
  <c r="V192" i="2"/>
  <c r="V200" i="2"/>
  <c r="U162" i="2"/>
  <c r="H148" i="1" s="1"/>
  <c r="V204" i="2"/>
  <c r="H38" i="1" s="1"/>
  <c r="U206" i="2"/>
  <c r="H22" i="1" s="1"/>
  <c r="V208" i="2"/>
  <c r="H42" i="1" s="1"/>
  <c r="U210" i="2"/>
  <c r="H26" i="1" s="1"/>
  <c r="V212" i="2"/>
  <c r="H46" i="1" s="1"/>
  <c r="V214" i="2"/>
  <c r="H48" i="1" s="1"/>
  <c r="V216" i="2"/>
  <c r="H50" i="1" s="1"/>
  <c r="V218" i="2"/>
  <c r="H52" i="1" s="1"/>
  <c r="V220" i="2"/>
  <c r="H54" i="1" s="1"/>
  <c r="U192" i="2"/>
  <c r="U194" i="2"/>
  <c r="U196" i="2"/>
  <c r="U198" i="2"/>
  <c r="U200" i="2"/>
  <c r="G48" i="2"/>
  <c r="H219" i="1"/>
  <c r="V156" i="2"/>
  <c r="H156" i="1" s="1"/>
  <c r="U158" i="2"/>
  <c r="H144" i="1" s="1"/>
  <c r="U91" i="2"/>
  <c r="U89" i="2"/>
  <c r="U87" i="2"/>
  <c r="U83" i="2"/>
  <c r="U81" i="2"/>
  <c r="G51" i="2"/>
  <c r="H222" i="1"/>
  <c r="G50" i="2"/>
  <c r="V160" i="2"/>
  <c r="H160" i="1" s="1"/>
  <c r="U156" i="2"/>
  <c r="H142" i="1" s="1"/>
  <c r="V154" i="2"/>
  <c r="H154" i="1" s="1"/>
  <c r="V158" i="2"/>
  <c r="H158" i="1" s="1"/>
  <c r="U160" i="2"/>
  <c r="H146" i="1" s="1"/>
  <c r="U144" i="2"/>
  <c r="H132" i="1" s="1"/>
  <c r="H55" i="1"/>
  <c r="H56" i="1"/>
  <c r="H86" i="1" l="1"/>
  <c r="H84" i="1"/>
  <c r="B88" i="1"/>
  <c r="A89" i="1"/>
  <c r="H214" i="1"/>
  <c r="H213" i="1"/>
  <c r="A90" i="1" l="1"/>
  <c r="B89" i="1"/>
  <c r="B90" i="1" l="1"/>
  <c r="A91" i="1"/>
  <c r="A92" i="1" l="1"/>
  <c r="B91" i="1"/>
  <c r="B92" i="1" l="1"/>
  <c r="A93" i="1"/>
  <c r="A94" i="1" l="1"/>
  <c r="B93" i="1"/>
  <c r="B94" i="1" l="1"/>
  <c r="A95" i="1"/>
  <c r="A96" i="1" l="1"/>
  <c r="B95" i="1"/>
  <c r="B96" i="1" l="1"/>
  <c r="A97" i="1"/>
  <c r="A98" i="1" l="1"/>
  <c r="B97" i="1"/>
  <c r="B98" i="1" l="1"/>
  <c r="A99" i="1"/>
  <c r="A100" i="1" l="1"/>
  <c r="B99" i="1"/>
  <c r="B100" i="1" l="1"/>
  <c r="A101" i="1"/>
  <c r="A102" i="1" l="1"/>
  <c r="B101" i="1"/>
  <c r="B102" i="1" l="1"/>
  <c r="A103" i="1"/>
  <c r="A104" i="1" l="1"/>
  <c r="B103" i="1"/>
  <c r="B104" i="1" l="1"/>
  <c r="A105" i="1"/>
  <c r="A106" i="1" l="1"/>
  <c r="B105" i="1"/>
  <c r="B106" i="1" l="1"/>
  <c r="A107" i="1"/>
  <c r="A108" i="1" l="1"/>
  <c r="B107" i="1"/>
  <c r="A109" i="1" l="1"/>
  <c r="B108" i="1"/>
  <c r="A110" i="1" l="1"/>
  <c r="B109" i="1"/>
  <c r="B110" i="1" l="1"/>
  <c r="A111" i="1"/>
  <c r="A112" i="1" l="1"/>
  <c r="B111" i="1"/>
  <c r="A113" i="1" l="1"/>
  <c r="B112" i="1"/>
  <c r="A114" i="1" l="1"/>
  <c r="B113" i="1"/>
  <c r="B114" i="1" l="1"/>
  <c r="A115" i="1"/>
  <c r="A116" i="1" l="1"/>
  <c r="B115" i="1"/>
  <c r="A117" i="1" l="1"/>
  <c r="B116" i="1"/>
  <c r="A118" i="1" l="1"/>
  <c r="B117" i="1"/>
  <c r="B118" i="1" l="1"/>
  <c r="A119" i="1"/>
  <c r="A120" i="1" l="1"/>
  <c r="B119" i="1"/>
  <c r="A121" i="1" l="1"/>
  <c r="B120" i="1"/>
  <c r="A122" i="1" l="1"/>
  <c r="B121" i="1"/>
  <c r="B122" i="1" l="1"/>
  <c r="A123" i="1"/>
  <c r="A124" i="1" l="1"/>
  <c r="B123" i="1"/>
  <c r="B124" i="1" l="1"/>
  <c r="A125" i="1"/>
  <c r="A126" i="1" l="1"/>
  <c r="B125" i="1"/>
  <c r="B126" i="1" l="1"/>
  <c r="A127" i="1"/>
  <c r="A128" i="1" l="1"/>
  <c r="B127" i="1"/>
  <c r="A129" i="1" l="1"/>
  <c r="B128" i="1"/>
  <c r="A130" i="1" l="1"/>
  <c r="B129" i="1"/>
  <c r="A131" i="1" l="1"/>
  <c r="B130" i="1"/>
  <c r="A132" i="1" l="1"/>
  <c r="B131" i="1"/>
  <c r="A133" i="1" l="1"/>
  <c r="B132" i="1"/>
  <c r="A134" i="1" l="1"/>
  <c r="B133" i="1"/>
  <c r="A135" i="1" l="1"/>
  <c r="B134" i="1"/>
  <c r="A136" i="1" l="1"/>
  <c r="B135" i="1"/>
  <c r="A137" i="1" l="1"/>
  <c r="B136" i="1"/>
  <c r="A138" i="1" l="1"/>
  <c r="B137" i="1"/>
  <c r="A139" i="1" l="1"/>
  <c r="B138" i="1"/>
  <c r="A140" i="1" l="1"/>
  <c r="B139" i="1"/>
  <c r="A141" i="1" l="1"/>
  <c r="B140" i="1"/>
  <c r="A142" i="1" l="1"/>
  <c r="B141" i="1"/>
  <c r="A143" i="1" l="1"/>
  <c r="B142" i="1"/>
  <c r="A144" i="1" l="1"/>
  <c r="B143" i="1"/>
  <c r="A145" i="1" l="1"/>
  <c r="B144" i="1"/>
  <c r="A146" i="1" l="1"/>
  <c r="B145" i="1"/>
  <c r="A147" i="1" l="1"/>
  <c r="B146" i="1"/>
  <c r="A148" i="1" l="1"/>
  <c r="B147" i="1"/>
  <c r="A149" i="1" l="1"/>
  <c r="B148" i="1"/>
  <c r="A150" i="1" l="1"/>
  <c r="B149" i="1"/>
  <c r="A151" i="1" l="1"/>
  <c r="B150" i="1"/>
  <c r="A152" i="1" l="1"/>
  <c r="B151" i="1"/>
  <c r="A153" i="1" l="1"/>
  <c r="B152" i="1"/>
  <c r="A154" i="1" l="1"/>
  <c r="B153" i="1"/>
  <c r="B154" i="1" l="1"/>
  <c r="A155" i="1"/>
  <c r="A156" i="1" l="1"/>
  <c r="B155" i="1"/>
  <c r="A157" i="1" l="1"/>
  <c r="B156" i="1"/>
  <c r="A158" i="1" l="1"/>
  <c r="B157" i="1"/>
  <c r="B158" i="1" l="1"/>
  <c r="A159" i="1"/>
  <c r="A160" i="1" l="1"/>
  <c r="B159" i="1"/>
  <c r="A161" i="1" l="1"/>
  <c r="B160" i="1"/>
  <c r="A162" i="1" l="1"/>
  <c r="B161" i="1"/>
  <c r="A163" i="1" l="1"/>
  <c r="B162" i="1"/>
  <c r="A164" i="1" l="1"/>
  <c r="B163" i="1"/>
  <c r="B164" i="1" l="1"/>
  <c r="A165" i="1"/>
  <c r="A166" i="1" l="1"/>
  <c r="B165" i="1"/>
  <c r="A167" i="1" l="1"/>
  <c r="B166" i="1"/>
  <c r="A168" i="1" l="1"/>
  <c r="B167" i="1"/>
  <c r="B168" i="1" l="1"/>
  <c r="A169" i="1"/>
  <c r="A170" i="1" l="1"/>
  <c r="B169" i="1"/>
  <c r="B170" i="1" l="1"/>
  <c r="A171" i="1"/>
  <c r="A172" i="1" l="1"/>
  <c r="B171" i="1"/>
  <c r="B172" i="1" l="1"/>
  <c r="A173" i="1"/>
  <c r="A174" i="1" l="1"/>
  <c r="B173" i="1"/>
  <c r="A175" i="1" l="1"/>
  <c r="B174" i="1"/>
  <c r="A176" i="1" l="1"/>
  <c r="B175" i="1"/>
  <c r="A177" i="1" l="1"/>
  <c r="B176" i="1"/>
  <c r="A178" i="1" l="1"/>
  <c r="B177" i="1"/>
  <c r="A179" i="1" l="1"/>
  <c r="B178" i="1"/>
  <c r="A180" i="1" l="1"/>
  <c r="B179" i="1"/>
  <c r="B180" i="1" l="1"/>
  <c r="A181" i="1"/>
  <c r="A182" i="1" l="1"/>
  <c r="B181" i="1"/>
  <c r="A183" i="1" l="1"/>
  <c r="B182" i="1"/>
  <c r="A184" i="1" l="1"/>
  <c r="B183" i="1"/>
  <c r="A185" i="1" l="1"/>
  <c r="B184" i="1"/>
  <c r="A186" i="1" l="1"/>
  <c r="B185" i="1"/>
  <c r="A187" i="1" l="1"/>
  <c r="B186" i="1"/>
  <c r="A188" i="1" l="1"/>
  <c r="B187" i="1"/>
  <c r="A189" i="1" l="1"/>
  <c r="B188" i="1"/>
  <c r="A190" i="1" l="1"/>
  <c r="B189" i="1"/>
  <c r="A191" i="1" l="1"/>
  <c r="B190" i="1"/>
  <c r="A192" i="1" l="1"/>
  <c r="B191" i="1"/>
  <c r="A193" i="1" l="1"/>
  <c r="B192" i="1"/>
  <c r="A194" i="1" l="1"/>
  <c r="B193" i="1"/>
  <c r="A195" i="1" l="1"/>
  <c r="B194" i="1"/>
  <c r="A196" i="1" l="1"/>
  <c r="B195" i="1"/>
  <c r="A197" i="1" l="1"/>
  <c r="B196" i="1"/>
  <c r="A198" i="1" l="1"/>
  <c r="B197" i="1"/>
  <c r="A199" i="1" l="1"/>
  <c r="B198" i="1"/>
  <c r="A200" i="1" l="1"/>
  <c r="B199" i="1"/>
  <c r="A201" i="1" l="1"/>
  <c r="B200" i="1"/>
  <c r="A202" i="1" l="1"/>
  <c r="B201" i="1"/>
  <c r="A203" i="1" l="1"/>
  <c r="B202" i="1"/>
  <c r="A204" i="1" l="1"/>
  <c r="B203" i="1"/>
  <c r="A205" i="1" l="1"/>
  <c r="B204" i="1"/>
  <c r="B205" i="1" l="1"/>
  <c r="A206" i="1"/>
  <c r="A207" i="1" l="1"/>
  <c r="B206" i="1"/>
  <c r="B207" i="1" l="1"/>
  <c r="A208" i="1"/>
  <c r="A209" i="1" l="1"/>
  <c r="B208" i="1"/>
  <c r="B209" i="1" l="1"/>
  <c r="A210" i="1"/>
  <c r="B210" i="1" l="1"/>
  <c r="A211" i="1"/>
  <c r="A212" i="1" l="1"/>
  <c r="B211" i="1"/>
  <c r="A213" i="1" l="1"/>
  <c r="B212" i="1"/>
  <c r="B213" i="1" l="1"/>
  <c r="A214" i="1"/>
  <c r="A215" i="1" l="1"/>
  <c r="B214" i="1"/>
  <c r="B215" i="1" l="1"/>
  <c r="A216" i="1"/>
  <c r="B216" i="1" l="1"/>
  <c r="A217" i="1"/>
  <c r="A218" i="1" l="1"/>
  <c r="B217" i="1"/>
  <c r="B218" i="1" l="1"/>
  <c r="A219" i="1"/>
  <c r="A220" i="1" l="1"/>
  <c r="B219" i="1"/>
  <c r="B220" i="1" l="1"/>
  <c r="A221" i="1"/>
  <c r="A222" i="1" l="1"/>
  <c r="B221" i="1"/>
  <c r="A223" i="1" l="1"/>
  <c r="B222" i="1"/>
  <c r="A224" i="1" l="1"/>
  <c r="B223" i="1"/>
  <c r="B224" i="1" l="1"/>
  <c r="A225" i="1"/>
  <c r="B225" i="1" l="1"/>
  <c r="A226" i="1"/>
  <c r="A227" i="1" l="1"/>
  <c r="B226" i="1"/>
  <c r="B227" i="1" l="1"/>
  <c r="A228" i="1"/>
  <c r="A229" i="1" l="1"/>
  <c r="B228" i="1"/>
  <c r="B229" i="1" l="1"/>
  <c r="A230" i="1"/>
  <c r="A231" i="1" l="1"/>
  <c r="B230" i="1"/>
  <c r="A232" i="1" l="1"/>
  <c r="B231" i="1"/>
  <c r="B232" i="1" l="1"/>
  <c r="A233" i="1"/>
  <c r="B233" i="1" l="1"/>
  <c r="A234" i="1"/>
  <c r="A235" i="1" l="1"/>
  <c r="B234" i="1"/>
  <c r="B235" i="1" l="1"/>
  <c r="A236" i="1"/>
  <c r="B236" i="1" l="1"/>
  <c r="A237" i="1"/>
  <c r="B237" i="1" l="1"/>
  <c r="A238" i="1"/>
  <c r="A239" i="1" l="1"/>
  <c r="B238" i="1"/>
  <c r="A240" i="1" l="1"/>
  <c r="B239" i="1"/>
  <c r="A241" i="1" l="1"/>
  <c r="B240" i="1"/>
  <c r="A242" i="1" l="1"/>
  <c r="B241" i="1"/>
  <c r="A243" i="1" l="1"/>
  <c r="B242" i="1"/>
  <c r="A244" i="1" l="1"/>
  <c r="B243" i="1"/>
  <c r="B244" i="1" l="1"/>
  <c r="A245" i="1"/>
  <c r="A246" i="1" l="1"/>
  <c r="B245" i="1"/>
  <c r="B246" i="1" l="1"/>
  <c r="A247" i="1"/>
  <c r="A248" i="1" l="1"/>
  <c r="B247" i="1"/>
  <c r="A249" i="1" l="1"/>
  <c r="B248" i="1"/>
  <c r="A250" i="1" l="1"/>
  <c r="B249" i="1"/>
  <c r="B250" i="1" l="1"/>
  <c r="A251" i="1"/>
  <c r="B251" i="1" l="1"/>
  <c r="A252" i="1"/>
  <c r="B252" i="1" l="1"/>
  <c r="A253" i="1"/>
  <c r="A254" i="1" l="1"/>
  <c r="B253" i="1"/>
  <c r="B254" i="1" l="1"/>
  <c r="A255" i="1"/>
  <c r="A256" i="1" l="1"/>
  <c r="B255" i="1"/>
  <c r="B256" i="1" l="1"/>
  <c r="A257" i="1"/>
  <c r="A258" i="1" l="1"/>
  <c r="B257" i="1"/>
  <c r="A259" i="1" l="1"/>
  <c r="B258" i="1"/>
  <c r="A260" i="1" l="1"/>
  <c r="B259" i="1"/>
  <c r="A261" i="1" l="1"/>
  <c r="B260" i="1"/>
  <c r="B261" i="1" l="1"/>
  <c r="A262" i="1"/>
  <c r="A263" i="1" l="1"/>
  <c r="B262" i="1"/>
  <c r="A264" i="1" l="1"/>
  <c r="B263" i="1"/>
  <c r="B264" i="1" l="1"/>
  <c r="A265" i="1"/>
  <c r="A266" i="1" l="1"/>
  <c r="B265" i="1"/>
  <c r="A267" i="1" l="1"/>
  <c r="B266" i="1"/>
  <c r="A268" i="1" l="1"/>
  <c r="B267" i="1"/>
  <c r="B268" i="1" l="1"/>
  <c r="A269" i="1"/>
  <c r="B269" i="1" l="1"/>
  <c r="A270" i="1"/>
  <c r="A271" i="1" l="1"/>
  <c r="B270" i="1"/>
  <c r="A272" i="1" l="1"/>
  <c r="B271" i="1"/>
  <c r="A273" i="1" l="1"/>
  <c r="B272" i="1"/>
  <c r="B273" i="1" l="1"/>
  <c r="A274" i="1"/>
  <c r="A275" i="1" l="1"/>
  <c r="B274" i="1"/>
  <c r="A276" i="1" l="1"/>
  <c r="B275" i="1"/>
  <c r="B276" i="1" l="1"/>
  <c r="A277" i="1"/>
  <c r="A278" i="1" l="1"/>
  <c r="B277" i="1"/>
  <c r="B278" i="1" l="1"/>
  <c r="A279" i="1"/>
  <c r="B279" i="1" l="1"/>
  <c r="A280" i="1"/>
  <c r="A281" i="1" l="1"/>
  <c r="B280" i="1"/>
  <c r="B281" i="1" l="1"/>
  <c r="A282" i="1"/>
  <c r="B282" i="1" l="1"/>
  <c r="A283" i="1"/>
  <c r="A284" i="1" l="1"/>
  <c r="B283" i="1"/>
  <c r="B284" i="1" l="1"/>
  <c r="A285" i="1"/>
  <c r="A286" i="1" l="1"/>
  <c r="B285" i="1"/>
  <c r="B286" i="1" l="1"/>
  <c r="A287" i="1"/>
  <c r="A288" i="1" l="1"/>
  <c r="B287" i="1"/>
  <c r="A289" i="1" l="1"/>
  <c r="B288" i="1"/>
  <c r="B289" i="1" l="1"/>
  <c r="A290" i="1"/>
  <c r="A291" i="1" l="1"/>
  <c r="B290" i="1"/>
  <c r="A292" i="1" l="1"/>
  <c r="B291" i="1"/>
  <c r="A293" i="1" l="1"/>
  <c r="B292" i="1"/>
  <c r="B293" i="1" l="1"/>
  <c r="A294" i="1"/>
  <c r="A295" i="1" l="1"/>
  <c r="B294" i="1"/>
  <c r="B295" i="1" l="1"/>
  <c r="A296" i="1"/>
  <c r="A297" i="1" l="1"/>
  <c r="B296" i="1"/>
  <c r="A298" i="1" l="1"/>
  <c r="B297" i="1"/>
  <c r="A299" i="1" l="1"/>
  <c r="B298" i="1"/>
  <c r="B299" i="1" l="1"/>
  <c r="A300" i="1"/>
  <c r="B300" i="1" l="1"/>
  <c r="A301" i="1"/>
  <c r="A302" i="1" l="1"/>
  <c r="B301" i="1"/>
  <c r="B302" i="1" l="1"/>
  <c r="A303" i="1"/>
  <c r="B303" i="1" l="1"/>
  <c r="A304" i="1"/>
  <c r="A305" i="1" l="1"/>
  <c r="B304" i="1"/>
  <c r="A306" i="1" l="1"/>
  <c r="B305" i="1"/>
  <c r="B306" i="1" l="1"/>
  <c r="A307" i="1"/>
  <c r="B307" i="1" l="1"/>
  <c r="A308" i="1"/>
  <c r="B308" i="1" l="1"/>
  <c r="A309" i="1"/>
  <c r="A310" i="1" l="1"/>
  <c r="B309" i="1"/>
  <c r="B310" i="1" l="1"/>
  <c r="A311" i="1"/>
  <c r="A312" i="1" l="1"/>
  <c r="B311" i="1"/>
  <c r="B312" i="1" l="1"/>
  <c r="A313" i="1"/>
  <c r="A314" i="1" l="1"/>
  <c r="B313" i="1"/>
  <c r="B314" i="1" l="1"/>
  <c r="A315" i="1"/>
  <c r="B315" i="1" l="1"/>
  <c r="A316" i="1"/>
  <c r="B316" i="1" l="1"/>
  <c r="A317" i="1"/>
  <c r="A318" i="1" l="1"/>
  <c r="B317" i="1"/>
  <c r="B318" i="1" l="1"/>
  <c r="A319" i="1"/>
  <c r="A320" i="1" l="1"/>
  <c r="B319" i="1"/>
  <c r="B320" i="1" l="1"/>
  <c r="A321" i="1"/>
  <c r="B321" i="1" l="1"/>
  <c r="A322" i="1"/>
  <c r="A323" i="1" l="1"/>
  <c r="B322" i="1"/>
  <c r="A324" i="1" l="1"/>
  <c r="B323" i="1"/>
  <c r="A325" i="1" l="1"/>
  <c r="B324" i="1"/>
  <c r="A326" i="1" l="1"/>
  <c r="B325" i="1"/>
  <c r="B326" i="1" l="1"/>
  <c r="A327" i="1"/>
  <c r="A328" i="1" l="1"/>
  <c r="B327" i="1"/>
  <c r="B328" i="1" l="1"/>
  <c r="A329" i="1"/>
  <c r="A330" i="1" l="1"/>
  <c r="B329" i="1"/>
  <c r="A331" i="1" l="1"/>
  <c r="B330" i="1"/>
  <c r="A332" i="1" l="1"/>
  <c r="B331" i="1"/>
  <c r="A333" i="1" l="1"/>
  <c r="B332" i="1"/>
  <c r="A334" i="1" l="1"/>
  <c r="B333" i="1"/>
  <c r="B334" i="1" l="1"/>
  <c r="A335" i="1"/>
  <c r="B335" i="1" l="1"/>
  <c r="A336" i="1"/>
  <c r="B336" i="1" l="1"/>
  <c r="A337" i="1"/>
  <c r="A338" i="1" l="1"/>
  <c r="B337" i="1"/>
  <c r="B338" i="1" l="1"/>
  <c r="A339" i="1"/>
  <c r="A340" i="1" l="1"/>
  <c r="B339" i="1"/>
  <c r="B340" i="1" l="1"/>
  <c r="A341" i="1"/>
  <c r="A342" i="1" l="1"/>
  <c r="B341" i="1"/>
  <c r="A343" i="1" l="1"/>
  <c r="B342" i="1"/>
  <c r="B343" i="1" l="1"/>
  <c r="A344" i="1"/>
  <c r="A345" i="1" l="1"/>
  <c r="B344" i="1"/>
  <c r="A346" i="1" l="1"/>
  <c r="B345" i="1"/>
  <c r="A347" i="1" l="1"/>
  <c r="B346" i="1"/>
  <c r="A348" i="1" l="1"/>
  <c r="B347" i="1"/>
  <c r="A349" i="1" l="1"/>
  <c r="B348" i="1"/>
  <c r="B349" i="1" l="1"/>
  <c r="A350" i="1"/>
  <c r="B350" i="1" l="1"/>
  <c r="A351" i="1"/>
  <c r="A352" i="1" l="1"/>
  <c r="B351" i="1"/>
  <c r="A353" i="1" l="1"/>
  <c r="B352" i="1"/>
  <c r="A354" i="1" l="1"/>
  <c r="B353" i="1"/>
  <c r="A355" i="1" l="1"/>
  <c r="B354" i="1"/>
  <c r="A356" i="1" l="1"/>
  <c r="B355" i="1"/>
  <c r="B356" i="1" l="1"/>
  <c r="A357" i="1"/>
  <c r="A358" i="1" l="1"/>
  <c r="B357" i="1"/>
  <c r="A359" i="1" l="1"/>
  <c r="B358" i="1"/>
  <c r="A360" i="1" l="1"/>
  <c r="B359" i="1"/>
  <c r="B360" i="1" l="1"/>
  <c r="A361" i="1"/>
  <c r="B361" i="1" l="1"/>
  <c r="A362" i="1"/>
  <c r="B362" i="1" l="1"/>
  <c r="A363" i="1"/>
  <c r="B363" i="1" l="1"/>
  <c r="A364" i="1"/>
  <c r="A365" i="1" l="1"/>
  <c r="B364" i="1"/>
  <c r="B365" i="1" l="1"/>
  <c r="A366" i="1"/>
  <c r="B366" i="1" l="1"/>
  <c r="A367" i="1"/>
  <c r="A368" i="1" l="1"/>
  <c r="B367" i="1"/>
  <c r="B368" i="1" l="1"/>
  <c r="A369" i="1"/>
  <c r="A370" i="1" l="1"/>
  <c r="B369" i="1"/>
  <c r="B370" i="1" l="1"/>
  <c r="A371" i="1"/>
  <c r="A372" i="1" l="1"/>
  <c r="B371" i="1"/>
  <c r="B372" i="1" l="1"/>
  <c r="A373" i="1"/>
  <c r="A374" i="1" l="1"/>
  <c r="B373" i="1"/>
  <c r="B374" i="1" l="1"/>
  <c r="A375" i="1"/>
  <c r="B375" i="1" l="1"/>
  <c r="A376" i="1"/>
  <c r="A377" i="1" l="1"/>
  <c r="B376" i="1"/>
  <c r="A378" i="1" l="1"/>
  <c r="B377" i="1"/>
  <c r="A379" i="1" l="1"/>
  <c r="B378" i="1"/>
  <c r="A380" i="1" l="1"/>
  <c r="B379" i="1"/>
  <c r="A381" i="1" l="1"/>
  <c r="B380" i="1"/>
  <c r="A382" i="1" l="1"/>
  <c r="B381" i="1"/>
  <c r="B382" i="1" l="1"/>
  <c r="A383" i="1"/>
  <c r="B383" i="1" l="1"/>
  <c r="A384" i="1"/>
  <c r="A385" i="1" l="1"/>
  <c r="B384" i="1"/>
  <c r="A386" i="1" l="1"/>
  <c r="B385" i="1"/>
  <c r="A387" i="1" l="1"/>
  <c r="B386" i="1"/>
  <c r="A388" i="1" l="1"/>
  <c r="B387" i="1"/>
  <c r="A389" i="1" l="1"/>
  <c r="B388" i="1"/>
  <c r="A390" i="1" l="1"/>
  <c r="B389" i="1"/>
  <c r="A391" i="1" l="1"/>
  <c r="B390" i="1"/>
  <c r="B391" i="1" l="1"/>
  <c r="A392" i="1"/>
  <c r="A393" i="1" l="1"/>
  <c r="B392" i="1"/>
  <c r="A394" i="1" l="1"/>
  <c r="B393" i="1"/>
  <c r="A395" i="1" l="1"/>
  <c r="B394" i="1"/>
  <c r="A396" i="1" l="1"/>
  <c r="B395" i="1"/>
  <c r="A397" i="1" l="1"/>
  <c r="B396" i="1"/>
  <c r="A398" i="1" l="1"/>
  <c r="B397" i="1"/>
  <c r="A399" i="1" l="1"/>
  <c r="B398" i="1"/>
  <c r="A400" i="1" l="1"/>
  <c r="B399" i="1"/>
  <c r="B400" i="1" l="1"/>
  <c r="A401" i="1"/>
  <c r="A402" i="1" l="1"/>
  <c r="B401" i="1"/>
  <c r="B402" i="1" l="1"/>
  <c r="A403" i="1"/>
  <c r="B403" i="1" l="1"/>
  <c r="A404" i="1"/>
  <c r="A405" i="1" l="1"/>
  <c r="B404" i="1"/>
  <c r="A406" i="1" l="1"/>
  <c r="B405" i="1"/>
  <c r="A407" i="1" l="1"/>
  <c r="B406" i="1"/>
  <c r="A408" i="1" l="1"/>
  <c r="B407" i="1"/>
  <c r="B408" i="1" l="1"/>
  <c r="A409" i="1"/>
  <c r="A410" i="1" l="1"/>
  <c r="B409" i="1"/>
  <c r="B410" i="1" l="1"/>
  <c r="A411" i="1"/>
  <c r="A412" i="1" l="1"/>
  <c r="B411" i="1"/>
  <c r="A413" i="1" l="1"/>
  <c r="B412" i="1"/>
  <c r="A414" i="1" l="1"/>
  <c r="B413" i="1"/>
  <c r="A415" i="1" l="1"/>
  <c r="B414" i="1"/>
  <c r="A416" i="1" l="1"/>
  <c r="B415" i="1"/>
  <c r="A417" i="1" l="1"/>
  <c r="B416" i="1"/>
  <c r="A418" i="1" l="1"/>
  <c r="B417" i="1"/>
  <c r="A419" i="1" l="1"/>
  <c r="B418" i="1"/>
  <c r="A420" i="1" l="1"/>
  <c r="B419" i="1"/>
  <c r="B420" i="1" l="1"/>
  <c r="A421" i="1"/>
  <c r="A422" i="1" l="1"/>
  <c r="B421" i="1"/>
  <c r="B422" i="1" l="1"/>
  <c r="A423" i="1"/>
  <c r="A424" i="1" l="1"/>
  <c r="B423" i="1"/>
  <c r="B424" i="1" l="1"/>
  <c r="A425" i="1"/>
  <c r="A426" i="1" l="1"/>
  <c r="B425" i="1"/>
  <c r="B426" i="1" l="1"/>
  <c r="A427" i="1"/>
  <c r="A428" i="1" l="1"/>
  <c r="B427" i="1"/>
  <c r="A429" i="1" l="1"/>
  <c r="B428" i="1"/>
  <c r="A430" i="1" l="1"/>
  <c r="B429" i="1"/>
  <c r="A431" i="1" l="1"/>
  <c r="B430" i="1"/>
  <c r="A432" i="1" l="1"/>
  <c r="B431" i="1"/>
  <c r="B432" i="1" l="1"/>
  <c r="A433" i="1"/>
  <c r="A434" i="1" l="1"/>
  <c r="B433" i="1"/>
  <c r="A435" i="1" l="1"/>
  <c r="B434" i="1"/>
  <c r="A436" i="1" l="1"/>
  <c r="B435" i="1"/>
  <c r="B436" i="1" l="1"/>
  <c r="A437" i="1"/>
  <c r="A438" i="1" l="1"/>
  <c r="B437" i="1"/>
  <c r="A439" i="1" l="1"/>
  <c r="B438" i="1"/>
  <c r="A440" i="1" l="1"/>
  <c r="B439" i="1"/>
  <c r="A441" i="1" l="1"/>
  <c r="B440" i="1"/>
  <c r="A442" i="1" l="1"/>
  <c r="B441" i="1"/>
  <c r="A443" i="1" l="1"/>
  <c r="B442" i="1"/>
  <c r="A444" i="1" l="1"/>
  <c r="B443" i="1"/>
  <c r="A445" i="1" l="1"/>
  <c r="B444" i="1"/>
  <c r="B445" i="1" l="1"/>
  <c r="A446" i="1"/>
  <c r="A447" i="1" l="1"/>
  <c r="B446" i="1"/>
  <c r="B447" i="1" l="1"/>
  <c r="A448" i="1"/>
  <c r="A449" i="1" l="1"/>
  <c r="B448" i="1"/>
  <c r="B449" i="1" l="1"/>
  <c r="A450" i="1"/>
  <c r="A451" i="1" l="1"/>
  <c r="B450" i="1"/>
  <c r="B451" i="1" l="1"/>
  <c r="A452" i="1"/>
  <c r="A453" i="1" l="1"/>
  <c r="B452" i="1"/>
  <c r="A454" i="1" l="1"/>
  <c r="B453" i="1"/>
  <c r="A455" i="1" l="1"/>
  <c r="B454" i="1"/>
  <c r="B455" i="1" l="1"/>
  <c r="A456" i="1"/>
  <c r="A457" i="1" l="1"/>
  <c r="B456" i="1"/>
  <c r="B457" i="1" l="1"/>
  <c r="A458" i="1"/>
  <c r="A459" i="1" l="1"/>
  <c r="B458" i="1"/>
  <c r="B459" i="1" l="1"/>
  <c r="A460" i="1"/>
  <c r="A461" i="1" l="1"/>
  <c r="B460" i="1"/>
  <c r="A462" i="1" l="1"/>
  <c r="B461" i="1"/>
  <c r="A463" i="1" l="1"/>
  <c r="B462" i="1"/>
  <c r="B463" i="1" l="1"/>
  <c r="A464" i="1"/>
  <c r="A465" i="1" l="1"/>
  <c r="B464" i="1"/>
  <c r="B465" i="1" l="1"/>
  <c r="A466" i="1"/>
  <c r="A467" i="1" l="1"/>
  <c r="B466" i="1"/>
  <c r="B467" i="1" l="1"/>
  <c r="A468" i="1"/>
  <c r="A469" i="1" l="1"/>
  <c r="B468" i="1"/>
  <c r="A470" i="1" l="1"/>
  <c r="B469" i="1"/>
  <c r="A471" i="1" l="1"/>
  <c r="B470" i="1"/>
  <c r="B471" i="1" l="1"/>
  <c r="A472" i="1"/>
  <c r="A473" i="1" l="1"/>
  <c r="B472" i="1"/>
  <c r="B473" i="1" l="1"/>
  <c r="A474" i="1"/>
  <c r="A475" i="1" l="1"/>
  <c r="B474" i="1"/>
  <c r="B475" i="1" l="1"/>
  <c r="A476" i="1"/>
  <c r="A477" i="1" l="1"/>
  <c r="B476" i="1"/>
  <c r="A478" i="1" l="1"/>
  <c r="B477" i="1"/>
  <c r="A479" i="1" l="1"/>
  <c r="B478" i="1"/>
  <c r="B479" i="1" l="1"/>
  <c r="A480" i="1"/>
  <c r="A481" i="1" l="1"/>
  <c r="B480" i="1"/>
  <c r="A482" i="1" l="1"/>
  <c r="B481" i="1"/>
  <c r="B482" i="1" l="1"/>
  <c r="A483" i="1"/>
  <c r="A484" i="1" l="1"/>
  <c r="B483" i="1"/>
  <c r="B484" i="1" l="1"/>
  <c r="A485" i="1"/>
  <c r="A486" i="1" l="1"/>
  <c r="B485" i="1"/>
  <c r="B486" i="1" l="1"/>
  <c r="A487" i="1"/>
  <c r="A488" i="1" l="1"/>
  <c r="B487" i="1"/>
  <c r="B488" i="1" l="1"/>
  <c r="A489" i="1"/>
  <c r="A490" i="1" l="1"/>
  <c r="B489" i="1"/>
  <c r="B490" i="1" l="1"/>
  <c r="A491" i="1"/>
  <c r="A492" i="1" l="1"/>
  <c r="B491" i="1"/>
  <c r="A493" i="1" l="1"/>
  <c r="B492" i="1"/>
  <c r="A494" i="1" l="1"/>
  <c r="B493" i="1"/>
  <c r="A495" i="1" l="1"/>
  <c r="B494" i="1"/>
  <c r="A496" i="1" l="1"/>
  <c r="B495" i="1"/>
  <c r="B496" i="1" l="1"/>
  <c r="A497" i="1"/>
  <c r="A498" i="1" l="1"/>
  <c r="B497" i="1"/>
  <c r="A499" i="1" l="1"/>
  <c r="B498" i="1"/>
  <c r="A500" i="1" l="1"/>
  <c r="B499" i="1"/>
  <c r="B500" i="1" l="1"/>
  <c r="A501" i="1"/>
  <c r="B501" i="1" l="1"/>
  <c r="A502" i="1"/>
  <c r="A503" i="1" l="1"/>
  <c r="B502" i="1"/>
  <c r="A504" i="1" l="1"/>
  <c r="B503" i="1"/>
  <c r="A505" i="1" l="1"/>
  <c r="B504" i="1"/>
  <c r="A506" i="1" l="1"/>
  <c r="B505" i="1"/>
  <c r="A507" i="1" l="1"/>
  <c r="B506" i="1"/>
  <c r="A508" i="1" l="1"/>
  <c r="B507" i="1"/>
  <c r="B508" i="1" l="1"/>
  <c r="A509" i="1"/>
  <c r="B509" i="1" l="1"/>
  <c r="A510" i="1"/>
  <c r="A511" i="1" l="1"/>
  <c r="B510" i="1"/>
  <c r="B511" i="1" l="1"/>
  <c r="A512" i="1"/>
  <c r="B512" i="1" l="1"/>
  <c r="A513" i="1"/>
  <c r="B513" i="1" l="1"/>
  <c r="A514" i="1"/>
  <c r="A515" i="1" l="1"/>
  <c r="B514" i="1"/>
  <c r="B515" i="1" l="1"/>
  <c r="A516" i="1"/>
  <c r="A517" i="1" l="1"/>
  <c r="B516" i="1"/>
  <c r="B517" i="1" l="1"/>
  <c r="A518" i="1"/>
  <c r="B518" i="1" l="1"/>
  <c r="A519" i="1"/>
  <c r="A520" i="1" l="1"/>
  <c r="B519" i="1"/>
  <c r="A521" i="1" l="1"/>
  <c r="B520" i="1"/>
  <c r="A522" i="1" l="1"/>
  <c r="B521" i="1"/>
  <c r="B522" i="1" l="1"/>
  <c r="A523" i="1"/>
  <c r="A524" i="1" l="1"/>
  <c r="B523" i="1"/>
  <c r="B524" i="1" l="1"/>
  <c r="A525" i="1"/>
  <c r="A526" i="1" l="1"/>
  <c r="B525" i="1"/>
  <c r="A527" i="1" l="1"/>
  <c r="B526" i="1"/>
  <c r="A528" i="1" l="1"/>
  <c r="B527" i="1"/>
  <c r="A529" i="1" l="1"/>
  <c r="B528" i="1"/>
  <c r="A530" i="1" l="1"/>
  <c r="B529" i="1"/>
  <c r="B530" i="1" l="1"/>
  <c r="A531" i="1"/>
  <c r="B531" i="1" l="1"/>
  <c r="A532" i="1"/>
  <c r="B532" i="1" l="1"/>
  <c r="A533" i="1"/>
  <c r="A534" i="1" l="1"/>
  <c r="B533" i="1"/>
  <c r="B534" i="1" l="1"/>
  <c r="A535" i="1"/>
  <c r="A536" i="1" l="1"/>
  <c r="B535" i="1"/>
  <c r="B536" i="1" l="1"/>
  <c r="A537" i="1"/>
  <c r="A538" i="1" l="1"/>
  <c r="B537" i="1"/>
  <c r="A539" i="1" l="1"/>
  <c r="B538" i="1"/>
  <c r="A540" i="1" l="1"/>
  <c r="B539" i="1"/>
  <c r="B540" i="1" l="1"/>
  <c r="A541" i="1"/>
  <c r="A542" i="1" l="1"/>
  <c r="B541" i="1"/>
  <c r="A543" i="1" l="1"/>
  <c r="B542" i="1"/>
  <c r="A544" i="1" l="1"/>
  <c r="B543" i="1"/>
  <c r="B544" i="1" l="1"/>
  <c r="A545" i="1"/>
  <c r="A546" i="1" l="1"/>
  <c r="B545" i="1"/>
  <c r="B546" i="1" l="1"/>
  <c r="A547" i="1"/>
  <c r="B547" i="1" l="1"/>
  <c r="A548" i="1"/>
  <c r="B548" i="1" l="1"/>
  <c r="A549" i="1"/>
  <c r="A550" i="1" l="1"/>
  <c r="B549" i="1"/>
  <c r="A551" i="1" l="1"/>
  <c r="B550" i="1"/>
  <c r="B551" i="1" l="1"/>
  <c r="A552" i="1"/>
  <c r="B552" i="1" l="1"/>
  <c r="A553" i="1"/>
  <c r="A554" i="1" l="1"/>
  <c r="B553" i="1"/>
  <c r="B554" i="1" l="1"/>
  <c r="A555" i="1"/>
  <c r="A556" i="1" l="1"/>
  <c r="B555" i="1"/>
  <c r="A557" i="1" l="1"/>
  <c r="B556" i="1"/>
  <c r="A558" i="1" l="1"/>
  <c r="B557" i="1"/>
  <c r="A559" i="1" l="1"/>
  <c r="B558" i="1"/>
  <c r="A560" i="1" l="1"/>
  <c r="B559" i="1"/>
  <c r="A561" i="1" l="1"/>
  <c r="B560" i="1"/>
  <c r="A562" i="1" l="1"/>
  <c r="B561" i="1"/>
  <c r="B562" i="1" l="1"/>
  <c r="A563" i="1"/>
  <c r="A564" i="1" l="1"/>
  <c r="B563" i="1"/>
  <c r="B564" i="1" l="1"/>
  <c r="A565" i="1"/>
  <c r="A566" i="1" l="1"/>
  <c r="B565" i="1"/>
  <c r="A567" i="1" l="1"/>
  <c r="B566" i="1"/>
  <c r="A568" i="1" l="1"/>
  <c r="B567" i="1"/>
  <c r="A569" i="1" l="1"/>
  <c r="B568" i="1"/>
  <c r="A570" i="1" l="1"/>
  <c r="B569" i="1"/>
  <c r="B570" i="1" l="1"/>
  <c r="A571" i="1"/>
  <c r="A572" i="1" l="1"/>
  <c r="B571" i="1"/>
  <c r="B572" i="1" l="1"/>
  <c r="A573" i="1"/>
  <c r="A574" i="1" l="1"/>
  <c r="B573" i="1"/>
  <c r="A575" i="1" l="1"/>
  <c r="B574" i="1"/>
  <c r="B575" i="1" l="1"/>
  <c r="A576" i="1"/>
  <c r="B576" i="1" l="1"/>
  <c r="A577" i="1"/>
  <c r="A578" i="1" l="1"/>
  <c r="B577" i="1"/>
  <c r="B578" i="1" l="1"/>
  <c r="A579" i="1"/>
  <c r="B579" i="1" l="1"/>
  <c r="A580" i="1"/>
  <c r="B580" i="1" l="1"/>
  <c r="A581" i="1"/>
  <c r="A582" i="1" l="1"/>
  <c r="B581" i="1"/>
  <c r="B582" i="1" l="1"/>
  <c r="A583" i="1"/>
  <c r="A584" i="1" l="1"/>
  <c r="B583" i="1"/>
  <c r="B584" i="1" l="1"/>
  <c r="A585" i="1"/>
  <c r="A586" i="1" l="1"/>
  <c r="B585" i="1"/>
  <c r="B586" i="1" l="1"/>
  <c r="A587" i="1"/>
  <c r="A588" i="1" l="1"/>
  <c r="B587" i="1"/>
  <c r="B588" i="1" l="1"/>
  <c r="A589" i="1"/>
  <c r="A590" i="1" l="1"/>
  <c r="B589" i="1"/>
  <c r="A591" i="1" l="1"/>
  <c r="B590" i="1"/>
  <c r="B591" i="1" l="1"/>
  <c r="A592" i="1"/>
  <c r="B592" i="1" l="1"/>
  <c r="A593" i="1"/>
  <c r="A594" i="1" l="1"/>
  <c r="B593" i="1"/>
  <c r="A595" i="1" l="1"/>
  <c r="B594" i="1"/>
  <c r="A596" i="1" l="1"/>
  <c r="B595" i="1"/>
  <c r="A597" i="1" l="1"/>
  <c r="B596" i="1"/>
  <c r="A598" i="1" l="1"/>
  <c r="B597" i="1"/>
  <c r="A599" i="1" l="1"/>
  <c r="B598" i="1"/>
  <c r="B599" i="1" l="1"/>
  <c r="A600" i="1"/>
  <c r="A601" i="1" l="1"/>
  <c r="B600" i="1"/>
  <c r="B601" i="1" l="1"/>
  <c r="A602" i="1"/>
  <c r="A603" i="1" l="1"/>
  <c r="B602" i="1"/>
  <c r="B603" i="1" l="1"/>
  <c r="A604" i="1"/>
  <c r="A605" i="1" l="1"/>
  <c r="B604" i="1"/>
  <c r="A606" i="1" l="1"/>
  <c r="B605" i="1"/>
  <c r="A607" i="1" l="1"/>
  <c r="B606" i="1"/>
  <c r="A608" i="1" l="1"/>
  <c r="B607" i="1"/>
  <c r="A609" i="1" l="1"/>
  <c r="B608" i="1"/>
  <c r="A610" i="1" l="1"/>
  <c r="B609" i="1"/>
  <c r="A611" i="1" l="1"/>
  <c r="B610" i="1"/>
  <c r="A612" i="1" l="1"/>
  <c r="B611" i="1"/>
  <c r="A613" i="1" l="1"/>
  <c r="B612" i="1"/>
  <c r="A614" i="1" l="1"/>
  <c r="B613" i="1"/>
  <c r="A615" i="1" l="1"/>
  <c r="B614" i="1"/>
  <c r="B615" i="1" l="1"/>
  <c r="A616" i="1"/>
  <c r="B616" i="1" l="1"/>
  <c r="A617" i="1"/>
  <c r="B617" i="1" l="1"/>
  <c r="A618" i="1"/>
  <c r="B618" i="1" l="1"/>
  <c r="A619" i="1"/>
  <c r="B619" i="1" l="1"/>
  <c r="A620" i="1"/>
  <c r="A621" i="1" l="1"/>
  <c r="B620" i="1"/>
  <c r="B621" i="1" l="1"/>
  <c r="A622" i="1"/>
  <c r="A623" i="1" l="1"/>
  <c r="B622" i="1"/>
  <c r="A624" i="1" l="1"/>
  <c r="B623" i="1"/>
  <c r="A625" i="1" l="1"/>
  <c r="B624" i="1"/>
  <c r="B625" i="1" l="1"/>
  <c r="A626" i="1"/>
  <c r="A627" i="1" l="1"/>
  <c r="B626" i="1"/>
  <c r="B627" i="1" l="1"/>
  <c r="A628" i="1"/>
  <c r="A629" i="1" l="1"/>
  <c r="B628" i="1"/>
  <c r="A630" i="1" l="1"/>
  <c r="B629" i="1"/>
  <c r="A631" i="1" l="1"/>
  <c r="B630" i="1"/>
  <c r="B631" i="1" l="1"/>
  <c r="A632" i="1"/>
  <c r="A633" i="1" l="1"/>
  <c r="B632" i="1"/>
  <c r="B633" i="1" l="1"/>
  <c r="A634" i="1"/>
  <c r="A635" i="1" l="1"/>
  <c r="B634" i="1"/>
  <c r="B635" i="1" l="1"/>
  <c r="A636" i="1"/>
  <c r="A637" i="1" l="1"/>
  <c r="B636" i="1"/>
  <c r="B637" i="1" l="1"/>
  <c r="A638" i="1"/>
  <c r="B638" i="1" l="1"/>
  <c r="A639" i="1"/>
  <c r="A640" i="1" l="1"/>
  <c r="B639" i="1"/>
  <c r="B640" i="1" l="1"/>
  <c r="A641" i="1"/>
  <c r="A642" i="1" l="1"/>
  <c r="B641" i="1"/>
  <c r="A643" i="1" l="1"/>
  <c r="B642" i="1"/>
  <c r="A644" i="1" l="1"/>
  <c r="B643" i="1"/>
  <c r="B644" i="1" l="1"/>
  <c r="A645" i="1"/>
  <c r="B645" i="1" l="1"/>
  <c r="A646" i="1"/>
  <c r="B646" i="1" l="1"/>
  <c r="A647" i="1"/>
  <c r="B647" i="1" l="1"/>
  <c r="A648" i="1"/>
  <c r="A649" i="1" l="1"/>
  <c r="B648" i="1"/>
  <c r="B649" i="1" l="1"/>
  <c r="A650" i="1"/>
  <c r="A651" i="1" l="1"/>
  <c r="B650" i="1"/>
  <c r="A652" i="1" l="1"/>
  <c r="B651" i="1"/>
  <c r="B652" i="1" l="1"/>
  <c r="A653" i="1"/>
  <c r="A654" i="1" l="1"/>
  <c r="B653" i="1"/>
  <c r="A655" i="1" l="1"/>
  <c r="B654" i="1"/>
  <c r="A656" i="1" l="1"/>
  <c r="B655" i="1"/>
  <c r="A657" i="1" l="1"/>
  <c r="B656" i="1"/>
  <c r="A658" i="1" l="1"/>
  <c r="B657" i="1"/>
  <c r="B658" i="1" l="1"/>
  <c r="A659" i="1"/>
  <c r="A660" i="1" l="1"/>
  <c r="B659" i="1"/>
  <c r="A661" i="1" l="1"/>
  <c r="B660" i="1"/>
  <c r="B661" i="1" l="1"/>
  <c r="A662" i="1"/>
  <c r="A663" i="1" l="1"/>
  <c r="B662" i="1"/>
  <c r="A664" i="1" l="1"/>
  <c r="B663" i="1"/>
  <c r="A665" i="1" l="1"/>
  <c r="B664" i="1"/>
  <c r="A666" i="1" l="1"/>
  <c r="B665" i="1"/>
  <c r="A667" i="1" l="1"/>
  <c r="B666" i="1"/>
  <c r="A668" i="1" l="1"/>
  <c r="B667" i="1"/>
  <c r="A669" i="1" l="1"/>
  <c r="B668" i="1"/>
  <c r="A670" i="1" l="1"/>
  <c r="B669" i="1"/>
  <c r="A671" i="1" l="1"/>
  <c r="B670" i="1"/>
  <c r="A672" i="1" l="1"/>
  <c r="B671" i="1"/>
  <c r="B672" i="1" l="1"/>
  <c r="A673" i="1"/>
  <c r="A674" i="1" l="1"/>
  <c r="B673" i="1"/>
  <c r="B674" i="1" l="1"/>
  <c r="A675" i="1"/>
  <c r="B675" i="1" l="1"/>
  <c r="A676" i="1"/>
  <c r="B676" i="1" l="1"/>
  <c r="A677" i="1"/>
  <c r="A678" i="1" l="1"/>
  <c r="B677" i="1"/>
  <c r="B678" i="1" l="1"/>
  <c r="A679" i="1"/>
  <c r="B679" i="1" l="1"/>
  <c r="A680" i="1"/>
  <c r="B680" i="1" l="1"/>
  <c r="A681" i="1"/>
  <c r="B681" i="1" l="1"/>
  <c r="A682" i="1"/>
  <c r="B682" i="1" l="1"/>
  <c r="A683" i="1"/>
  <c r="A684" i="1" l="1"/>
  <c r="B683" i="1"/>
  <c r="B684" i="1" l="1"/>
  <c r="A685" i="1"/>
  <c r="B685" i="1" l="1"/>
  <c r="A686" i="1"/>
  <c r="B686" i="1" l="1"/>
  <c r="A687" i="1"/>
  <c r="A688" i="1" l="1"/>
  <c r="B687" i="1"/>
  <c r="B688" i="1" l="1"/>
  <c r="A689" i="1"/>
  <c r="B689" i="1" l="1"/>
  <c r="A690" i="1"/>
  <c r="B690" i="1" l="1"/>
  <c r="A691" i="1"/>
  <c r="A692" i="1" l="1"/>
  <c r="B691" i="1"/>
  <c r="B692" i="1" l="1"/>
  <c r="A693" i="1"/>
  <c r="A694" i="1" l="1"/>
  <c r="B693" i="1"/>
  <c r="A695" i="1" l="1"/>
  <c r="B694" i="1"/>
  <c r="A696" i="1" l="1"/>
  <c r="B695" i="1"/>
  <c r="A697" i="1" l="1"/>
  <c r="B696" i="1"/>
  <c r="A698" i="1" l="1"/>
  <c r="B697" i="1"/>
  <c r="B698" i="1" l="1"/>
  <c r="A699" i="1"/>
  <c r="B699" i="1" l="1"/>
  <c r="A700" i="1"/>
  <c r="A701" i="1" l="1"/>
  <c r="B700" i="1"/>
  <c r="B701" i="1" l="1"/>
  <c r="A702" i="1"/>
  <c r="B702" i="1" l="1"/>
  <c r="A703" i="1"/>
  <c r="B703" i="1" l="1"/>
  <c r="A704" i="1"/>
  <c r="B704" i="1" l="1"/>
  <c r="A705" i="1"/>
  <c r="A706" i="1" l="1"/>
  <c r="B705" i="1"/>
  <c r="B706" i="1" l="1"/>
  <c r="A707" i="1"/>
  <c r="B707" i="1" l="1"/>
  <c r="A708" i="1"/>
  <c r="B708" i="1" l="1"/>
  <c r="A709" i="1"/>
  <c r="A710" i="1" l="1"/>
  <c r="B709" i="1"/>
  <c r="A711" i="1" l="1"/>
  <c r="B710" i="1"/>
  <c r="A712" i="1" l="1"/>
  <c r="B711" i="1"/>
  <c r="A713" i="1" l="1"/>
  <c r="B712" i="1"/>
  <c r="A714" i="1" l="1"/>
  <c r="B713" i="1"/>
  <c r="A715" i="1" l="1"/>
  <c r="B714" i="1"/>
  <c r="B715" i="1" l="1"/>
  <c r="A716" i="1"/>
  <c r="A717" i="1" l="1"/>
  <c r="B716" i="1"/>
  <c r="B717" i="1" l="1"/>
  <c r="A718" i="1"/>
  <c r="B718" i="1" l="1"/>
  <c r="A719" i="1"/>
  <c r="B719" i="1" l="1"/>
  <c r="A720" i="1"/>
  <c r="B720" i="1" l="1"/>
  <c r="A721" i="1"/>
  <c r="B721" i="1" l="1"/>
  <c r="A722" i="1"/>
  <c r="A723" i="1" l="1"/>
  <c r="B722" i="1"/>
  <c r="B723" i="1" l="1"/>
  <c r="A724" i="1"/>
  <c r="A725" i="1" l="1"/>
  <c r="B724" i="1"/>
  <c r="A726" i="1" l="1"/>
  <c r="B725" i="1"/>
  <c r="B726" i="1" l="1"/>
  <c r="A727" i="1"/>
  <c r="A728" i="1" l="1"/>
  <c r="B727" i="1"/>
  <c r="B728" i="1" l="1"/>
  <c r="A729" i="1"/>
  <c r="B729" i="1" l="1"/>
  <c r="A730" i="1"/>
  <c r="A731" i="1" l="1"/>
  <c r="B730" i="1"/>
  <c r="B731" i="1" l="1"/>
  <c r="A732" i="1"/>
  <c r="A733" i="1" l="1"/>
  <c r="B732" i="1"/>
  <c r="B733" i="1" l="1"/>
  <c r="A734" i="1"/>
  <c r="B734" i="1" l="1"/>
  <c r="A735" i="1"/>
  <c r="B735" i="1" l="1"/>
  <c r="A736" i="1"/>
  <c r="B736" i="1" l="1"/>
  <c r="A737" i="1"/>
  <c r="A738" i="1" l="1"/>
  <c r="B737" i="1"/>
  <c r="B738" i="1" l="1"/>
  <c r="A739" i="1"/>
  <c r="B739" i="1" l="1"/>
  <c r="A740" i="1"/>
  <c r="A741" i="1" l="1"/>
  <c r="B740" i="1"/>
  <c r="A742" i="1" l="1"/>
  <c r="B741" i="1"/>
  <c r="B742" i="1" l="1"/>
  <c r="A743" i="1"/>
  <c r="A744" i="1" l="1"/>
  <c r="B743" i="1"/>
  <c r="B744" i="1" l="1"/>
  <c r="A745" i="1"/>
  <c r="A746" i="1" l="1"/>
  <c r="B745" i="1"/>
  <c r="A747" i="1" l="1"/>
  <c r="B746" i="1"/>
  <c r="A748" i="1" l="1"/>
  <c r="B747" i="1"/>
  <c r="B748" i="1" l="1"/>
  <c r="A749" i="1"/>
  <c r="B749" i="1" l="1"/>
  <c r="A750" i="1"/>
  <c r="A751" i="1" l="1"/>
  <c r="B750" i="1"/>
  <c r="B751" i="1" l="1"/>
  <c r="A752" i="1"/>
  <c r="A753" i="1" l="1"/>
  <c r="B752" i="1"/>
  <c r="B753" i="1" l="1"/>
  <c r="A754" i="1"/>
  <c r="A755" i="1" l="1"/>
  <c r="B754" i="1"/>
  <c r="B755" i="1" l="1"/>
  <c r="A756" i="1"/>
  <c r="A757" i="1" l="1"/>
  <c r="B756" i="1"/>
  <c r="A758" i="1" l="1"/>
  <c r="B757" i="1"/>
  <c r="A759" i="1" l="1"/>
  <c r="B758" i="1"/>
  <c r="B759" i="1" l="1"/>
  <c r="A760" i="1"/>
  <c r="A761" i="1" l="1"/>
  <c r="B760" i="1"/>
  <c r="B761" i="1" l="1"/>
  <c r="A762" i="1"/>
  <c r="A763" i="1" l="1"/>
  <c r="B762" i="1"/>
  <c r="B763" i="1" l="1"/>
  <c r="A764" i="1"/>
  <c r="B764" i="1" l="1"/>
  <c r="A765" i="1"/>
  <c r="B765" i="1" l="1"/>
  <c r="A766" i="1"/>
  <c r="A767" i="1" l="1"/>
  <c r="B766" i="1"/>
  <c r="A768" i="1" l="1"/>
  <c r="B767" i="1"/>
  <c r="B768" i="1" l="1"/>
  <c r="A769" i="1"/>
  <c r="A770" i="1" l="1"/>
  <c r="B769" i="1"/>
  <c r="B770" i="1" l="1"/>
  <c r="A771" i="1"/>
  <c r="B771" i="1" l="1"/>
  <c r="A772" i="1"/>
  <c r="B772" i="1" l="1"/>
  <c r="A773" i="1"/>
  <c r="A774" i="1" l="1"/>
  <c r="B773" i="1"/>
  <c r="B774" i="1" l="1"/>
  <c r="A775" i="1"/>
  <c r="A776" i="1" l="1"/>
  <c r="B775" i="1"/>
  <c r="A777" i="1" l="1"/>
  <c r="B776" i="1"/>
  <c r="B777" i="1" l="1"/>
  <c r="A778" i="1"/>
  <c r="A779" i="1" l="1"/>
  <c r="B778" i="1"/>
  <c r="B779" i="1" l="1"/>
  <c r="A780" i="1"/>
  <c r="B780" i="1" l="1"/>
  <c r="A781" i="1"/>
  <c r="B781" i="1" l="1"/>
  <c r="A782" i="1"/>
  <c r="A783" i="1" l="1"/>
  <c r="B782" i="1"/>
  <c r="A784" i="1" l="1"/>
  <c r="B783" i="1"/>
  <c r="A785" i="1" l="1"/>
  <c r="B784" i="1"/>
  <c r="A786" i="1" l="1"/>
  <c r="B785" i="1"/>
  <c r="B786" i="1" l="1"/>
  <c r="A787" i="1"/>
  <c r="B787" i="1" l="1"/>
  <c r="A788" i="1"/>
  <c r="A789" i="1" l="1"/>
  <c r="B788" i="1"/>
  <c r="B789" i="1" l="1"/>
  <c r="A790" i="1"/>
  <c r="A791" i="1" l="1"/>
  <c r="B790" i="1"/>
  <c r="B791" i="1" l="1"/>
  <c r="A792" i="1"/>
  <c r="B792" i="1" l="1"/>
  <c r="A793" i="1"/>
  <c r="B793" i="1" l="1"/>
  <c r="A794" i="1"/>
  <c r="A795" i="1" l="1"/>
  <c r="B794" i="1"/>
  <c r="A796" i="1" l="1"/>
  <c r="B795" i="1"/>
  <c r="A797" i="1" l="1"/>
  <c r="B796" i="1"/>
  <c r="B797" i="1" l="1"/>
  <c r="A798" i="1"/>
  <c r="A799" i="1" l="1"/>
  <c r="B798" i="1"/>
  <c r="B799" i="1" l="1"/>
  <c r="A800" i="1"/>
  <c r="B800" i="1" l="1"/>
  <c r="A801" i="1"/>
  <c r="A802" i="1" l="1"/>
  <c r="B801" i="1"/>
  <c r="A803" i="1" l="1"/>
  <c r="B802" i="1"/>
  <c r="B803" i="1" l="1"/>
  <c r="A804" i="1"/>
  <c r="A805" i="1" l="1"/>
  <c r="B804" i="1"/>
  <c r="B805" i="1" l="1"/>
  <c r="A806" i="1"/>
  <c r="A807" i="1" l="1"/>
  <c r="B806" i="1"/>
  <c r="A808" i="1" l="1"/>
  <c r="B807" i="1"/>
  <c r="A809" i="1" l="1"/>
  <c r="B808" i="1"/>
  <c r="A810" i="1" l="1"/>
  <c r="B809" i="1"/>
  <c r="B810" i="1" l="1"/>
  <c r="A811" i="1"/>
  <c r="A812" i="1" l="1"/>
  <c r="B811" i="1"/>
  <c r="B812" i="1" l="1"/>
  <c r="A813" i="1"/>
  <c r="B813" i="1" l="1"/>
  <c r="A814" i="1"/>
  <c r="A815" i="1" l="1"/>
  <c r="B814" i="1"/>
  <c r="B815" i="1" l="1"/>
  <c r="A816" i="1"/>
  <c r="B816" i="1" l="1"/>
  <c r="A817" i="1"/>
  <c r="A818" i="1" l="1"/>
  <c r="B817" i="1"/>
  <c r="A819" i="1" l="1"/>
  <c r="B818" i="1"/>
  <c r="A820" i="1" l="1"/>
  <c r="B819" i="1"/>
  <c r="B820" i="1" l="1"/>
  <c r="A821" i="1"/>
  <c r="A822" i="1" l="1"/>
  <c r="B821" i="1"/>
  <c r="B822" i="1" l="1"/>
  <c r="A823" i="1"/>
  <c r="B823" i="1" l="1"/>
  <c r="A824" i="1"/>
  <c r="A825" i="1" l="1"/>
  <c r="B824" i="1"/>
  <c r="B825" i="1" l="1"/>
  <c r="A826" i="1"/>
  <c r="A827" i="1" l="1"/>
  <c r="B826" i="1"/>
  <c r="A828" i="1" l="1"/>
  <c r="B827" i="1"/>
  <c r="A829" i="1" l="1"/>
  <c r="B828" i="1"/>
  <c r="B829" i="1" l="1"/>
  <c r="A830" i="1"/>
  <c r="B830" i="1" l="1"/>
  <c r="A831" i="1"/>
  <c r="A832" i="1" l="1"/>
  <c r="B831" i="1"/>
  <c r="B832" i="1" l="1"/>
  <c r="A833" i="1"/>
  <c r="A834" i="1" l="1"/>
  <c r="B833" i="1"/>
  <c r="A835" i="1" l="1"/>
  <c r="B834" i="1"/>
  <c r="B835" i="1" l="1"/>
  <c r="A836" i="1"/>
  <c r="A837" i="1" l="1"/>
  <c r="B836" i="1"/>
  <c r="A838" i="1" l="1"/>
  <c r="B837" i="1"/>
  <c r="A839" i="1" l="1"/>
  <c r="B838" i="1"/>
  <c r="B839" i="1" l="1"/>
  <c r="A840" i="1"/>
  <c r="B840" i="1" l="1"/>
  <c r="A841" i="1"/>
  <c r="A842" i="1" l="1"/>
  <c r="B841" i="1"/>
  <c r="B842" i="1" l="1"/>
  <c r="A843" i="1"/>
  <c r="A844" i="1" l="1"/>
  <c r="B843" i="1"/>
  <c r="B844" i="1" l="1"/>
  <c r="A845" i="1"/>
  <c r="A846" i="1" l="1"/>
  <c r="B845" i="1"/>
  <c r="B846" i="1" l="1"/>
  <c r="A847" i="1"/>
  <c r="A848" i="1" l="1"/>
  <c r="B847" i="1"/>
  <c r="A849" i="1" l="1"/>
  <c r="B848" i="1"/>
  <c r="B849" i="1" l="1"/>
  <c r="A850" i="1"/>
  <c r="A851" i="1" l="1"/>
  <c r="B850" i="1"/>
  <c r="B851" i="1" l="1"/>
  <c r="A852" i="1"/>
  <c r="B852" i="1" l="1"/>
  <c r="A853" i="1"/>
  <c r="B853" i="1" l="1"/>
  <c r="A854" i="1"/>
  <c r="B854" i="1" l="1"/>
  <c r="A855" i="1"/>
  <c r="B855" i="1" l="1"/>
  <c r="A856" i="1"/>
  <c r="B856" i="1" l="1"/>
  <c r="A857" i="1"/>
  <c r="B857" i="1" l="1"/>
  <c r="A858" i="1"/>
  <c r="A859" i="1" l="1"/>
  <c r="B858" i="1"/>
  <c r="B859" i="1" l="1"/>
  <c r="A860" i="1"/>
  <c r="A861" i="1" l="1"/>
  <c r="B860" i="1"/>
  <c r="A862" i="1" l="1"/>
  <c r="B861" i="1"/>
  <c r="B862" i="1" l="1"/>
  <c r="A863" i="1"/>
  <c r="A864" i="1" l="1"/>
  <c r="B863" i="1"/>
  <c r="B864" i="1" l="1"/>
  <c r="A865" i="1"/>
  <c r="A866" i="1" l="1"/>
  <c r="B865" i="1"/>
  <c r="A867" i="1" l="1"/>
  <c r="B866" i="1"/>
  <c r="B867" i="1" l="1"/>
  <c r="A868" i="1"/>
  <c r="B868" i="1" l="1"/>
  <c r="A869" i="1"/>
  <c r="A870" i="1" l="1"/>
  <c r="B869" i="1"/>
  <c r="A871" i="1" l="1"/>
  <c r="B870" i="1"/>
  <c r="B871" i="1" l="1"/>
  <c r="A872" i="1"/>
  <c r="B872" i="1" l="1"/>
  <c r="A873" i="1"/>
  <c r="B873" i="1" l="1"/>
  <c r="A874" i="1"/>
  <c r="B874" i="1" l="1"/>
  <c r="A875" i="1"/>
  <c r="A876" i="1" l="1"/>
  <c r="B875" i="1"/>
  <c r="B876" i="1" l="1"/>
  <c r="A877" i="1"/>
  <c r="A878" i="1" l="1"/>
  <c r="B877" i="1"/>
  <c r="B878" i="1" l="1"/>
  <c r="A879" i="1"/>
  <c r="A880" i="1" l="1"/>
  <c r="B879" i="1"/>
  <c r="B880" i="1" l="1"/>
  <c r="A881" i="1"/>
  <c r="A882" i="1" l="1"/>
  <c r="B881" i="1"/>
  <c r="B882" i="1" l="1"/>
  <c r="A883" i="1"/>
  <c r="A884" i="1" l="1"/>
  <c r="B883" i="1"/>
  <c r="B884" i="1" l="1"/>
  <c r="A885" i="1"/>
  <c r="B885" i="1" l="1"/>
  <c r="A886" i="1"/>
  <c r="A887" i="1" l="1"/>
  <c r="B886" i="1"/>
  <c r="A888" i="1" l="1"/>
  <c r="B887" i="1"/>
  <c r="A889" i="1" l="1"/>
  <c r="B888" i="1"/>
  <c r="B889" i="1" l="1"/>
  <c r="A890" i="1"/>
  <c r="A891" i="1" l="1"/>
  <c r="B890" i="1"/>
  <c r="A892" i="1" l="1"/>
  <c r="B891" i="1"/>
  <c r="B892" i="1" l="1"/>
  <c r="A893" i="1"/>
  <c r="B893" i="1" l="1"/>
  <c r="A894" i="1"/>
  <c r="A895" i="1" l="1"/>
  <c r="B894" i="1"/>
  <c r="A896" i="1" l="1"/>
  <c r="B895" i="1"/>
  <c r="B896" i="1" l="1"/>
  <c r="A897" i="1"/>
  <c r="A898" i="1" l="1"/>
  <c r="B897" i="1"/>
  <c r="A899" i="1" l="1"/>
  <c r="B898" i="1"/>
  <c r="B899" i="1" l="1"/>
  <c r="A900" i="1"/>
  <c r="A901" i="1" l="1"/>
  <c r="B900" i="1"/>
  <c r="B901" i="1" l="1"/>
  <c r="A902" i="1"/>
  <c r="A903" i="1" l="1"/>
  <c r="B902" i="1"/>
  <c r="B903" i="1" l="1"/>
  <c r="A904" i="1"/>
  <c r="A905" i="1" l="1"/>
  <c r="B904" i="1"/>
  <c r="B905" i="1" l="1"/>
  <c r="A906" i="1"/>
  <c r="B906" i="1" l="1"/>
  <c r="A907" i="1"/>
  <c r="B907" i="1" l="1"/>
  <c r="A908" i="1"/>
  <c r="B908" i="1" l="1"/>
  <c r="A909" i="1"/>
  <c r="A910" i="1" l="1"/>
  <c r="B909" i="1"/>
  <c r="B910" i="1" l="1"/>
  <c r="A911" i="1"/>
  <c r="A912" i="1" l="1"/>
  <c r="B911" i="1"/>
  <c r="A913" i="1" l="1"/>
  <c r="B912" i="1"/>
  <c r="A914" i="1" l="1"/>
  <c r="B913" i="1"/>
  <c r="B914" i="1" l="1"/>
  <c r="A915" i="1"/>
  <c r="B915" i="1" l="1"/>
  <c r="A916" i="1"/>
  <c r="A917" i="1" l="1"/>
  <c r="B916" i="1"/>
  <c r="A918" i="1" l="1"/>
  <c r="B917" i="1"/>
  <c r="A919" i="1" l="1"/>
  <c r="B918" i="1"/>
  <c r="B919" i="1" l="1"/>
  <c r="A920" i="1"/>
  <c r="B920" i="1" l="1"/>
  <c r="A921" i="1"/>
  <c r="B921" i="1" l="1"/>
  <c r="A922" i="1"/>
  <c r="B922" i="1" l="1"/>
  <c r="A923" i="1"/>
  <c r="B923" i="1" l="1"/>
  <c r="A924" i="1"/>
  <c r="A925" i="1" l="1"/>
  <c r="B924" i="1"/>
  <c r="B925" i="1" l="1"/>
  <c r="A926" i="1"/>
  <c r="B926" i="1" l="1"/>
  <c r="A927" i="1"/>
  <c r="A928" i="1" l="1"/>
  <c r="B927" i="1"/>
  <c r="A929" i="1" l="1"/>
  <c r="B928" i="1"/>
  <c r="A930" i="1" l="1"/>
  <c r="B929" i="1"/>
  <c r="B930" i="1" l="1"/>
  <c r="A931" i="1"/>
  <c r="A932" i="1" l="1"/>
  <c r="B931" i="1"/>
  <c r="A933" i="1" l="1"/>
  <c r="B932" i="1"/>
  <c r="A934" i="1" l="1"/>
  <c r="B933" i="1"/>
  <c r="A935" i="1" l="1"/>
  <c r="B934" i="1"/>
  <c r="B935" i="1" l="1"/>
  <c r="A936" i="1"/>
  <c r="A937" i="1" l="1"/>
  <c r="B936" i="1"/>
  <c r="B937" i="1" l="1"/>
  <c r="A938" i="1"/>
  <c r="A939" i="1" l="1"/>
  <c r="B938" i="1"/>
  <c r="A940" i="1" l="1"/>
  <c r="B939" i="1"/>
  <c r="B940" i="1" l="1"/>
  <c r="A941" i="1"/>
  <c r="A942" i="1" l="1"/>
  <c r="B941" i="1"/>
  <c r="A943" i="1" l="1"/>
  <c r="B942" i="1"/>
  <c r="A944" i="1" l="1"/>
  <c r="B943" i="1"/>
  <c r="A945" i="1" l="1"/>
  <c r="B944" i="1"/>
  <c r="B945" i="1" l="1"/>
  <c r="A946" i="1"/>
  <c r="A947" i="1" l="1"/>
  <c r="B946" i="1"/>
  <c r="A948" i="1" l="1"/>
  <c r="B947" i="1"/>
  <c r="B948" i="1" l="1"/>
  <c r="A949" i="1"/>
  <c r="A950" i="1" l="1"/>
  <c r="B949" i="1"/>
  <c r="A951" i="1" l="1"/>
  <c r="B950" i="1"/>
  <c r="A952" i="1" l="1"/>
  <c r="B951" i="1"/>
  <c r="A953" i="1" l="1"/>
  <c r="B952" i="1"/>
  <c r="A954" i="1" l="1"/>
  <c r="B953" i="1"/>
  <c r="A955" i="1" l="1"/>
  <c r="B954" i="1"/>
  <c r="B955" i="1" l="1"/>
  <c r="A956" i="1"/>
  <c r="A957" i="1" l="1"/>
  <c r="B956" i="1"/>
  <c r="B957" i="1" l="1"/>
  <c r="A958" i="1"/>
  <c r="A959" i="1" l="1"/>
  <c r="B958" i="1"/>
  <c r="A960" i="1" l="1"/>
  <c r="B959" i="1"/>
  <c r="A961" i="1" l="1"/>
  <c r="B960" i="1"/>
  <c r="A962" i="1" l="1"/>
  <c r="B961" i="1"/>
  <c r="B962" i="1" l="1"/>
  <c r="A963" i="1"/>
  <c r="A964" i="1" l="1"/>
  <c r="B963" i="1"/>
  <c r="A965" i="1" l="1"/>
  <c r="B964" i="1"/>
  <c r="B965" i="1" l="1"/>
  <c r="A966" i="1"/>
  <c r="A967" i="1" l="1"/>
  <c r="B966" i="1"/>
  <c r="B967" i="1" l="1"/>
  <c r="A968" i="1"/>
  <c r="B968" i="1" l="1"/>
  <c r="A969" i="1"/>
  <c r="B969" i="1" l="1"/>
  <c r="A970" i="1"/>
  <c r="A971" i="1" l="1"/>
  <c r="B970" i="1"/>
  <c r="A972" i="1" l="1"/>
  <c r="B971" i="1"/>
  <c r="B972" i="1" l="1"/>
  <c r="A973" i="1"/>
  <c r="A974" i="1" l="1"/>
  <c r="B973" i="1"/>
  <c r="A975" i="1" l="1"/>
  <c r="B974" i="1"/>
  <c r="B975" i="1" l="1"/>
  <c r="A976" i="1"/>
  <c r="B976" i="1" l="1"/>
  <c r="A977" i="1"/>
  <c r="B977" i="1" l="1"/>
  <c r="A978" i="1"/>
  <c r="A979" i="1" l="1"/>
  <c r="B978" i="1"/>
  <c r="A980" i="1" l="1"/>
  <c r="B979" i="1"/>
  <c r="A981" i="1" l="1"/>
  <c r="B980" i="1"/>
  <c r="B981" i="1" l="1"/>
  <c r="A982" i="1"/>
  <c r="A983" i="1" l="1"/>
  <c r="B982" i="1"/>
  <c r="A984" i="1" l="1"/>
  <c r="B983" i="1"/>
  <c r="A985" i="1" l="1"/>
  <c r="B984" i="1"/>
  <c r="B985" i="1" l="1"/>
  <c r="A986" i="1"/>
  <c r="A987" i="1" l="1"/>
  <c r="B986" i="1"/>
  <c r="A988" i="1" l="1"/>
  <c r="B987" i="1"/>
  <c r="A989" i="1" l="1"/>
  <c r="B988" i="1"/>
  <c r="B989" i="1" l="1"/>
  <c r="A990" i="1"/>
  <c r="A991" i="1" l="1"/>
  <c r="B990" i="1"/>
  <c r="A992" i="1" l="1"/>
  <c r="B991" i="1"/>
  <c r="B992" i="1" l="1"/>
  <c r="A993" i="1"/>
  <c r="A994" i="1" l="1"/>
  <c r="B993" i="1"/>
  <c r="B994" i="1" l="1"/>
  <c r="A995" i="1"/>
  <c r="A996" i="1" l="1"/>
  <c r="B995" i="1"/>
  <c r="B996" i="1" l="1"/>
  <c r="A997" i="1"/>
  <c r="A998" i="1" l="1"/>
  <c r="B997" i="1"/>
  <c r="B998" i="1" l="1"/>
  <c r="A999" i="1"/>
  <c r="A1000" i="1" l="1"/>
  <c r="B999" i="1"/>
  <c r="A1001" i="1" l="1"/>
  <c r="B1000" i="1"/>
  <c r="A1002" i="1" l="1"/>
  <c r="B1001" i="1"/>
  <c r="A1003" i="1" l="1"/>
  <c r="B1002" i="1"/>
  <c r="A1004" i="1" l="1"/>
  <c r="B1003" i="1"/>
  <c r="A1005" i="1" l="1"/>
  <c r="B1004" i="1"/>
  <c r="A1006" i="1" l="1"/>
  <c r="B1005" i="1"/>
  <c r="B1006" i="1" l="1"/>
  <c r="A1007" i="1"/>
  <c r="A1008" i="1" l="1"/>
  <c r="B1007" i="1"/>
  <c r="A1009" i="1" l="1"/>
  <c r="B1008" i="1"/>
  <c r="B1009" i="1" l="1"/>
  <c r="A1010" i="1"/>
  <c r="B1010" i="1" l="1"/>
  <c r="A1011" i="1"/>
  <c r="B1011" i="1" l="1"/>
  <c r="A1012" i="1"/>
  <c r="A1013" i="1" l="1"/>
  <c r="B1012" i="1"/>
  <c r="A1014" i="1" l="1"/>
  <c r="B1013" i="1"/>
  <c r="B1014" i="1" l="1"/>
  <c r="A1015" i="1"/>
  <c r="A1016" i="1" l="1"/>
  <c r="B1015" i="1"/>
  <c r="A1017" i="1" l="1"/>
  <c r="B1016" i="1"/>
  <c r="B1017" i="1" l="1"/>
  <c r="A1018" i="1"/>
  <c r="A1019" i="1" l="1"/>
  <c r="B1018" i="1"/>
  <c r="A1020" i="1" l="1"/>
  <c r="B1019" i="1"/>
  <c r="A1021" i="1" l="1"/>
  <c r="B1020" i="1"/>
  <c r="A1022" i="1" l="1"/>
  <c r="B1021" i="1"/>
  <c r="B1022" i="1" l="1"/>
  <c r="A1023" i="1"/>
  <c r="B1023" i="1" l="1"/>
  <c r="A1024" i="1"/>
  <c r="A1025" i="1" l="1"/>
  <c r="B1024" i="1"/>
  <c r="A1026" i="1" l="1"/>
  <c r="B1025" i="1"/>
  <c r="A1027" i="1" l="1"/>
  <c r="B1026" i="1"/>
  <c r="B1027" i="1" l="1"/>
  <c r="A1028" i="1"/>
  <c r="A1029" i="1" l="1"/>
  <c r="B1028" i="1"/>
  <c r="A1030" i="1" l="1"/>
  <c r="B1029" i="1"/>
  <c r="A1031" i="1" l="1"/>
  <c r="B1030" i="1"/>
  <c r="A1032" i="1" l="1"/>
  <c r="B1031" i="1"/>
  <c r="A1033" i="1" l="1"/>
  <c r="B1032" i="1"/>
  <c r="A1034" i="1" l="1"/>
  <c r="B1033" i="1"/>
  <c r="A1035" i="1" l="1"/>
  <c r="B1034" i="1"/>
  <c r="B1035" i="1" l="1"/>
  <c r="A1036" i="1"/>
  <c r="B1036" i="1" l="1"/>
  <c r="A1037" i="1"/>
  <c r="B1037" i="1" l="1"/>
  <c r="A1038" i="1"/>
  <c r="B1038" i="1" s="1"/>
</calcChain>
</file>

<file path=xl/sharedStrings.xml><?xml version="1.0" encoding="utf-8"?>
<sst xmlns="http://schemas.openxmlformats.org/spreadsheetml/2006/main" count="288" uniqueCount="200">
  <si>
    <t>Data</t>
  </si>
  <si>
    <t>Help / remark</t>
  </si>
  <si>
    <t>dec</t>
  </si>
  <si>
    <t>hex</t>
  </si>
  <si>
    <t>(hex)</t>
  </si>
  <si>
    <t>X (dec)</t>
  </si>
  <si>
    <t>Y (dec)</t>
  </si>
  <si>
    <t>X (hex)</t>
  </si>
  <si>
    <t>Y (hex)</t>
  </si>
  <si>
    <t>Type</t>
  </si>
  <si>
    <t>Variable Name</t>
  </si>
  <si>
    <t>Description</t>
  </si>
  <si>
    <t>Data Element</t>
  </si>
  <si>
    <t>Count</t>
  </si>
  <si>
    <t>u8</t>
  </si>
  <si>
    <t>Byte Address</t>
  </si>
  <si>
    <t>UNUSED</t>
  </si>
  <si>
    <t>FF</t>
  </si>
  <si>
    <t>Module Name</t>
  </si>
  <si>
    <t>AddChkSum</t>
  </si>
  <si>
    <t>XorChkSum</t>
  </si>
  <si>
    <t>Unused1_Len</t>
  </si>
  <si>
    <t>Checksum Group</t>
  </si>
  <si>
    <t>CHECKSUM</t>
  </si>
  <si>
    <t>Unused1</t>
  </si>
  <si>
    <t>Structure Definitions</t>
  </si>
  <si>
    <t xml:space="preserve">Hex File Name </t>
  </si>
  <si>
    <t xml:space="preserve">Hex File Path </t>
  </si>
  <si>
    <t>HeaderFile Path</t>
  </si>
  <si>
    <t>Vcc</t>
  </si>
  <si>
    <t>Default Rom Tables</t>
  </si>
  <si>
    <t>Filler Value</t>
  </si>
  <si>
    <t>mS</t>
  </si>
  <si>
    <t xml:space="preserve">Main container loop time </t>
  </si>
  <si>
    <t>V</t>
  </si>
  <si>
    <t>Foreground loop time</t>
  </si>
  <si>
    <t>PTA</t>
    <phoneticPr fontId="0" type="noConversion"/>
  </si>
  <si>
    <t>MMI</t>
    <phoneticPr fontId="0" type="noConversion"/>
  </si>
  <si>
    <t>ICT</t>
    <phoneticPr fontId="0" type="noConversion"/>
  </si>
  <si>
    <t>RFA</t>
    <phoneticPr fontId="0" type="noConversion"/>
  </si>
  <si>
    <t>VEL</t>
    <phoneticPr fontId="0" type="noConversion"/>
  </si>
  <si>
    <t>MAC</t>
    <phoneticPr fontId="0" type="noConversion"/>
  </si>
  <si>
    <t>ModuleHeader Configuration</t>
    <phoneticPr fontId="0" type="noConversion"/>
  </si>
  <si>
    <t>Module ID</t>
    <phoneticPr fontId="0" type="noConversion"/>
  </si>
  <si>
    <t>Variable</t>
    <phoneticPr fontId="0" type="noConversion"/>
  </si>
  <si>
    <t>Const</t>
    <phoneticPr fontId="0" type="noConversion"/>
  </si>
  <si>
    <t>Module Config</t>
    <phoneticPr fontId="0" type="noConversion"/>
  </si>
  <si>
    <t>ACCC</t>
    <phoneticPr fontId="0" type="noConversion"/>
  </si>
  <si>
    <t>AIRD</t>
    <phoneticPr fontId="0" type="noConversion"/>
  </si>
  <si>
    <t>ALG</t>
    <phoneticPr fontId="0" type="noConversion"/>
  </si>
  <si>
    <t>CCS</t>
    <phoneticPr fontId="0" type="noConversion"/>
  </si>
  <si>
    <t>DCM</t>
    <phoneticPr fontId="0" type="noConversion"/>
  </si>
  <si>
    <t>DTC</t>
    <phoneticPr fontId="0" type="noConversion"/>
  </si>
  <si>
    <t>DIM</t>
    <phoneticPr fontId="0" type="noConversion"/>
  </si>
  <si>
    <t>EVAP</t>
    <phoneticPr fontId="0" type="noConversion"/>
  </si>
  <si>
    <t>HCT</t>
    <phoneticPr fontId="0" type="noConversion"/>
  </si>
  <si>
    <t>IGN</t>
    <phoneticPr fontId="0" type="noConversion"/>
  </si>
  <si>
    <t>ION</t>
    <phoneticPr fontId="0" type="noConversion"/>
  </si>
  <si>
    <t>KEY</t>
    <phoneticPr fontId="0" type="noConversion"/>
  </si>
  <si>
    <t>KNOB</t>
    <phoneticPr fontId="0" type="noConversion"/>
  </si>
  <si>
    <t>LCD</t>
    <phoneticPr fontId="0" type="noConversion"/>
  </si>
  <si>
    <t>NAT</t>
    <phoneticPr fontId="0" type="noConversion"/>
  </si>
  <si>
    <t>OAT</t>
    <phoneticPr fontId="0" type="noConversion"/>
  </si>
  <si>
    <t>POW</t>
    <phoneticPr fontId="0" type="noConversion"/>
  </si>
  <si>
    <t>RDC</t>
    <phoneticPr fontId="0" type="noConversion"/>
  </si>
  <si>
    <t>REV</t>
    <phoneticPr fontId="0" type="noConversion"/>
  </si>
  <si>
    <t>SUN</t>
    <phoneticPr fontId="0" type="noConversion"/>
  </si>
  <si>
    <t>Structure</t>
    <phoneticPr fontId="0" type="noConversion"/>
  </si>
  <si>
    <t>MacroDefine</t>
    <phoneticPr fontId="0" type="noConversion"/>
  </si>
  <si>
    <t>SW Module Configuration</t>
    <phoneticPr fontId="0" type="noConversion"/>
  </si>
  <si>
    <t>VariableConst</t>
    <phoneticPr fontId="0" type="noConversion"/>
  </si>
  <si>
    <t>RAM/ROM Layout, Configuration, Documentation</t>
    <phoneticPr fontId="0" type="noConversion"/>
  </si>
  <si>
    <t>16bit</t>
    <phoneticPr fontId="0" type="noConversion"/>
  </si>
  <si>
    <t>n</t>
    <phoneticPr fontId="0" type="noConversion"/>
  </si>
  <si>
    <t>n</t>
    <phoneticPr fontId="0" type="noConversion"/>
  </si>
  <si>
    <t>X  (dec)</t>
    <phoneticPr fontId="0" type="noConversion"/>
  </si>
  <si>
    <t>MacroDefine</t>
    <phoneticPr fontId="0" type="noConversion"/>
  </si>
  <si>
    <t>Y  (dec)</t>
    <phoneticPr fontId="0" type="noConversion"/>
  </si>
  <si>
    <t>u8</t>
    <phoneticPr fontId="0" type="noConversion"/>
  </si>
  <si>
    <t>ChipType</t>
    <phoneticPr fontId="0" type="noConversion"/>
  </si>
  <si>
    <t>HeaderFillByte1</t>
    <phoneticPr fontId="0" type="noConversion"/>
  </si>
  <si>
    <t>HeaderFillByte2</t>
    <phoneticPr fontId="0" type="noConversion"/>
  </si>
  <si>
    <t>0:Renesas 1:Fujitsu</t>
    <phoneticPr fontId="0" type="noConversion"/>
  </si>
  <si>
    <t>MACRO</t>
    <phoneticPr fontId="0" type="noConversion"/>
  </si>
  <si>
    <t>.\</t>
    <phoneticPr fontId="0" type="noConversion"/>
  </si>
  <si>
    <r>
      <t>(</t>
    </r>
    <r>
      <rPr>
        <b/>
        <i/>
        <sz val="10"/>
        <rFont val="宋体"/>
        <family val="3"/>
        <charset val="134"/>
      </rPr>
      <t>℃</t>
    </r>
    <r>
      <rPr>
        <b/>
        <i/>
        <sz val="10"/>
        <rFont val="Arial"/>
        <family val="2"/>
      </rPr>
      <t>)</t>
    </r>
    <phoneticPr fontId="0" type="noConversion"/>
  </si>
  <si>
    <r>
      <t>(</t>
    </r>
    <r>
      <rPr>
        <b/>
        <i/>
        <sz val="10"/>
        <rFont val="宋体"/>
        <family val="3"/>
        <charset val="134"/>
      </rPr>
      <t>℃</t>
    </r>
    <r>
      <rPr>
        <b/>
        <i/>
        <sz val="10"/>
        <rFont val="Arial"/>
        <family val="2"/>
      </rPr>
      <t>)</t>
    </r>
    <phoneticPr fontId="0" type="noConversion"/>
  </si>
  <si>
    <t>au16</t>
    <phoneticPr fontId="0" type="noConversion"/>
  </si>
  <si>
    <t>au16</t>
    <phoneticPr fontId="0" type="noConversion"/>
  </si>
  <si>
    <t>au16</t>
    <phoneticPr fontId="0" type="noConversion"/>
  </si>
  <si>
    <t>Group Auto  ADD Checksum</t>
    <phoneticPr fontId="0" type="noConversion"/>
  </si>
  <si>
    <t>Group Auto  XOR Checksum</t>
    <phoneticPr fontId="0" type="noConversion"/>
  </si>
  <si>
    <t>Group General  ADD Checksum</t>
    <phoneticPr fontId="0" type="noConversion"/>
  </si>
  <si>
    <t>Group General  XOR Checksum</t>
    <phoneticPr fontId="0" type="noConversion"/>
  </si>
  <si>
    <t>0:Variable 1:Const</t>
    <phoneticPr fontId="0" type="noConversion"/>
  </si>
  <si>
    <t>Module Name</t>
    <phoneticPr fontId="0" type="noConversion"/>
  </si>
  <si>
    <t>Ambient Temp</t>
    <phoneticPr fontId="0" type="noConversion"/>
  </si>
  <si>
    <t>.\</t>
    <phoneticPr fontId="0" type="noConversion"/>
  </si>
  <si>
    <t>ICT1</t>
  </si>
  <si>
    <t>ICT2</t>
  </si>
  <si>
    <t>ICT</t>
  </si>
  <si>
    <t>Incar Temperature</t>
    <phoneticPr fontId="0" type="noConversion"/>
  </si>
  <si>
    <t>AIRD Position</t>
    <phoneticPr fontId="0" type="noConversion"/>
  </si>
  <si>
    <t>Static Offset</t>
    <phoneticPr fontId="0" type="noConversion"/>
  </si>
  <si>
    <t>AIRD Position</t>
    <phoneticPr fontId="0" type="noConversion"/>
  </si>
  <si>
    <t>StaticOffset</t>
    <phoneticPr fontId="0" type="noConversion"/>
  </si>
  <si>
    <t>Ambient Temp</t>
    <phoneticPr fontId="0" type="noConversion"/>
  </si>
  <si>
    <t>StaticOffsetX</t>
    <phoneticPr fontId="0" type="noConversion"/>
  </si>
  <si>
    <t>StaticOffsetY0</t>
    <phoneticPr fontId="0" type="noConversion"/>
  </si>
  <si>
    <t>StaticOffsetY1</t>
    <phoneticPr fontId="0" type="noConversion"/>
  </si>
  <si>
    <t>StaticOffsetY2</t>
    <phoneticPr fontId="0" type="noConversion"/>
  </si>
  <si>
    <t>StaticOffsetAmbient</t>
    <phoneticPr fontId="0" type="noConversion"/>
  </si>
  <si>
    <t>Ambient Temp</t>
    <phoneticPr fontId="0" type="noConversion"/>
  </si>
  <si>
    <t>a2d volts</t>
  </si>
  <si>
    <t>Y (temperature output)</t>
  </si>
  <si>
    <t>degs ℃</t>
  </si>
  <si>
    <t>Rpulldown(Ohms)</t>
    <phoneticPr fontId="0" type="noConversion"/>
  </si>
  <si>
    <t>Incar</t>
    <phoneticPr fontId="0" type="noConversion"/>
  </si>
  <si>
    <t>Sensor Register</t>
    <phoneticPr fontId="0" type="noConversion"/>
  </si>
  <si>
    <t>SensorValueX</t>
    <phoneticPr fontId="0" type="noConversion"/>
  </si>
  <si>
    <t>SensorValue_Len</t>
  </si>
  <si>
    <t>SensorValue_Len</t>
    <phoneticPr fontId="0" type="noConversion"/>
  </si>
  <si>
    <t>SensorValueY</t>
    <phoneticPr fontId="0" type="noConversion"/>
  </si>
  <si>
    <t>Ict_Cfg.eed</t>
    <phoneticPr fontId="0" type="noConversion"/>
  </si>
  <si>
    <t>Ict_Cfg.h</t>
    <phoneticPr fontId="0" type="noConversion"/>
  </si>
  <si>
    <t>Ict_Cfg.c</t>
    <phoneticPr fontId="0" type="noConversion"/>
  </si>
  <si>
    <t>StaticOffsetTbl_X</t>
    <phoneticPr fontId="0" type="noConversion"/>
  </si>
  <si>
    <t>StaticOffsetTbl_Y0</t>
    <phoneticPr fontId="0" type="noConversion"/>
  </si>
  <si>
    <t>StaticOffsetTbl_Y1</t>
    <phoneticPr fontId="0" type="noConversion"/>
  </si>
  <si>
    <t>StaticOffsetTbl_Y2</t>
    <phoneticPr fontId="0" type="noConversion"/>
  </si>
  <si>
    <t>StaticOffsetTbl_Y3</t>
    <phoneticPr fontId="0" type="noConversion"/>
  </si>
  <si>
    <t>StaticOffsetAmbientTbl</t>
    <phoneticPr fontId="0" type="noConversion"/>
  </si>
  <si>
    <t>AmbientTbl_Len</t>
    <phoneticPr fontId="0" type="noConversion"/>
  </si>
  <si>
    <t>StaticOffsetTbl_Len</t>
    <phoneticPr fontId="0" type="noConversion"/>
  </si>
  <si>
    <t>StaticOffsetTbl_Len</t>
    <phoneticPr fontId="0" type="noConversion"/>
  </si>
  <si>
    <t>StaticOffsetTbl_Len</t>
    <phoneticPr fontId="0" type="noConversion"/>
  </si>
  <si>
    <t>StaticOffsetTbl_Len</t>
    <phoneticPr fontId="0" type="noConversion"/>
  </si>
  <si>
    <t>ICT</t>
    <phoneticPr fontId="0" type="noConversion"/>
  </si>
  <si>
    <t>GroupIct1</t>
    <phoneticPr fontId="0" type="noConversion"/>
  </si>
  <si>
    <t>GroupIct2</t>
    <phoneticPr fontId="0" type="noConversion"/>
  </si>
  <si>
    <t>SensorSgErrorMask</t>
    <phoneticPr fontId="0" type="noConversion"/>
  </si>
  <si>
    <t>SensorSpErrorMask</t>
    <phoneticPr fontId="0" type="noConversion"/>
  </si>
  <si>
    <t>SensorDefault</t>
    <phoneticPr fontId="0" type="noConversion"/>
  </si>
  <si>
    <t>Info1</t>
    <phoneticPr fontId="0" type="noConversion"/>
  </si>
  <si>
    <t>Data1</t>
    <phoneticPr fontId="0" type="noConversion"/>
  </si>
  <si>
    <t>Info2</t>
    <phoneticPr fontId="0" type="noConversion"/>
  </si>
  <si>
    <t>Data2</t>
    <phoneticPr fontId="0" type="noConversion"/>
  </si>
  <si>
    <t>StaticOffsetInputErrorMask</t>
    <phoneticPr fontId="0" type="noConversion"/>
  </si>
  <si>
    <t>DynamicOffsetInputErrorMask</t>
    <phoneticPr fontId="0" type="noConversion"/>
  </si>
  <si>
    <t>DynamicOffsetMax</t>
    <phoneticPr fontId="0" type="noConversion"/>
  </si>
  <si>
    <t>Ambient-&gt;</t>
    <phoneticPr fontId="0" type="noConversion"/>
  </si>
  <si>
    <t>DynamicMax</t>
    <phoneticPr fontId="0" type="noConversion"/>
  </si>
  <si>
    <t>DynamicMax</t>
    <phoneticPr fontId="0" type="noConversion"/>
  </si>
  <si>
    <r>
      <t>(</t>
    </r>
    <r>
      <rPr>
        <b/>
        <i/>
        <sz val="10"/>
        <rFont val="宋体"/>
        <family val="3"/>
        <charset val="134"/>
      </rPr>
      <t>℃</t>
    </r>
    <r>
      <rPr>
        <b/>
        <i/>
        <sz val="10"/>
        <rFont val="Arial"/>
        <family val="2"/>
      </rPr>
      <t>)</t>
    </r>
    <phoneticPr fontId="0" type="noConversion"/>
  </si>
  <si>
    <r>
      <t>(</t>
    </r>
    <r>
      <rPr>
        <b/>
        <i/>
        <sz val="10"/>
        <rFont val="宋体"/>
        <family val="3"/>
        <charset val="134"/>
      </rPr>
      <t>℃</t>
    </r>
    <r>
      <rPr>
        <b/>
        <i/>
        <sz val="10"/>
        <rFont val="Arial"/>
        <family val="2"/>
      </rPr>
      <t>)</t>
    </r>
    <phoneticPr fontId="0" type="noConversion"/>
  </si>
  <si>
    <t>(%)</t>
    <phoneticPr fontId="0" type="noConversion"/>
  </si>
  <si>
    <t>DynamicFactor</t>
    <phoneticPr fontId="0" type="noConversion"/>
  </si>
  <si>
    <t>DynamicFactor</t>
    <phoneticPr fontId="0" type="noConversion"/>
  </si>
  <si>
    <t>DynamicMaxTbl_Y</t>
    <phoneticPr fontId="0" type="noConversion"/>
  </si>
  <si>
    <t>DynamicMaxTbl_X</t>
    <phoneticPr fontId="0" type="noConversion"/>
  </si>
  <si>
    <t>DynamicMaxTbl_Len</t>
    <phoneticPr fontId="0" type="noConversion"/>
  </si>
  <si>
    <t>DynamicMaxTbl_Y</t>
    <phoneticPr fontId="0" type="noConversion"/>
  </si>
  <si>
    <t>DynamicMaxTbl_Len</t>
    <phoneticPr fontId="0" type="noConversion"/>
  </si>
  <si>
    <t>DynamicFactorTbl_Y</t>
    <phoneticPr fontId="0" type="noConversion"/>
  </si>
  <si>
    <t>DynamicMaxTbl_X</t>
    <phoneticPr fontId="0" type="noConversion"/>
  </si>
  <si>
    <t>DynamicFactorTbl_X</t>
    <phoneticPr fontId="0" type="noConversion"/>
  </si>
  <si>
    <t>DynamicFactorTbl_X</t>
    <phoneticPr fontId="0" type="noConversion"/>
  </si>
  <si>
    <t>DynamicFactorTbl_Len</t>
    <phoneticPr fontId="0" type="noConversion"/>
  </si>
  <si>
    <t>DynamicFactorTbl_Y</t>
    <phoneticPr fontId="0" type="noConversion"/>
  </si>
  <si>
    <t>Damping</t>
  </si>
  <si>
    <t>System Index (absolute value)</t>
  </si>
  <si>
    <t>Damping Constant</t>
  </si>
  <si>
    <t>DampingFactorY</t>
    <phoneticPr fontId="0" type="noConversion"/>
  </si>
  <si>
    <t>DampingFactorX</t>
    <phoneticPr fontId="0" type="noConversion"/>
  </si>
  <si>
    <t>DampingFactorY</t>
    <phoneticPr fontId="0" type="noConversion"/>
  </si>
  <si>
    <t>DampingFactor_len</t>
    <phoneticPr fontId="0" type="noConversion"/>
  </si>
  <si>
    <t>DynOffsetZeroPoint</t>
    <phoneticPr fontId="0" type="noConversion"/>
  </si>
  <si>
    <t>DynamicOffsetTimeCircle</t>
    <phoneticPr fontId="0" type="noConversion"/>
  </si>
  <si>
    <t>DampingLevel1</t>
    <phoneticPr fontId="0" type="noConversion"/>
  </si>
  <si>
    <t>DampingLevel2</t>
    <phoneticPr fontId="0" type="noConversion"/>
  </si>
  <si>
    <t>DampingLevel3</t>
    <phoneticPr fontId="0" type="noConversion"/>
  </si>
  <si>
    <t>OatStaticOffsetStep</t>
    <phoneticPr fontId="0" type="noConversion"/>
  </si>
  <si>
    <t>DynamicFactorRes</t>
    <phoneticPr fontId="0" type="noConversion"/>
  </si>
  <si>
    <t>Reserve32</t>
  </si>
  <si>
    <t>Reserve33</t>
  </si>
  <si>
    <t>Reserve34</t>
  </si>
  <si>
    <t>Reserve35</t>
  </si>
  <si>
    <t>Reserve36</t>
  </si>
  <si>
    <t>Reserve37</t>
  </si>
  <si>
    <t>Reserve38</t>
  </si>
  <si>
    <t>Reserve21</t>
    <phoneticPr fontId="0" type="noConversion"/>
  </si>
  <si>
    <t>Reserve22</t>
  </si>
  <si>
    <t>Reserve23</t>
  </si>
  <si>
    <t>Reserve24</t>
  </si>
  <si>
    <t>Reserve25</t>
  </si>
  <si>
    <t>Reserve26</t>
  </si>
  <si>
    <t>Reserve27</t>
  </si>
  <si>
    <t>Reserve28</t>
  </si>
  <si>
    <t>Reserve11</t>
    <phoneticPr fontId="0" type="noConversion"/>
  </si>
  <si>
    <t>StaticTimeBasePar</t>
    <phoneticPr fontId="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</si>
</sst>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"/>
    <numFmt numFmtId="177" formatCode="0.00;[Red]0.00"/>
    <numFmt numFmtId="178" formatCode="#,##0;[Red]#,##0"/>
    <numFmt numFmtId="179" formatCode="0.0_ "/>
    <numFmt numFmtId="180" formatCode="_-[$€]* #,##0.00_-;\-[$€]* #,##0.00_-;_-[$€]* &quot;-&quot;??_-;_-@_-"/>
  </numFmts>
  <fonts count="16"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28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i/>
      <sz val="16"/>
      <name val="Arial"/>
      <family val="2"/>
    </font>
    <font>
      <b/>
      <sz val="10"/>
      <color indexed="10"/>
      <name val="Arial"/>
      <family val="2"/>
    </font>
    <font>
      <b/>
      <sz val="11"/>
      <name val="Arial"/>
      <family val="2"/>
    </font>
    <font>
      <b/>
      <i/>
      <sz val="36"/>
      <color indexed="10"/>
      <name val="Arial"/>
      <family val="2"/>
    </font>
    <font>
      <sz val="36"/>
      <color indexed="10"/>
      <name val="Arial"/>
      <family val="2"/>
    </font>
    <font>
      <b/>
      <i/>
      <sz val="10"/>
      <name val="宋体"/>
      <family val="3"/>
      <charset val="134"/>
    </font>
    <font>
      <b/>
      <sz val="20"/>
      <color rgb="FFFF0000"/>
      <name val="Arial"/>
      <family val="2"/>
    </font>
    <font>
      <b/>
      <sz val="10"/>
      <color rgb="FFFF0000"/>
      <name val="Arial"/>
      <family val="2"/>
    </font>
    <font>
      <sz val="10"/>
      <name val="Siemens Sans"/>
      <family val="2"/>
    </font>
  </fonts>
  <fills count="28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1"/>
        <bgColor indexed="64"/>
      </patternFill>
    </fill>
    <fill>
      <patternFill patternType="lightUp"/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6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180" fontId="1" fillId="0" borderId="0" applyFont="0" applyFill="0" applyBorder="0" applyAlignment="0" applyProtection="0"/>
  </cellStyleXfs>
  <cellXfs count="37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6" fillId="2" borderId="0" xfId="0" applyFont="1" applyFill="1" applyBorder="1" applyAlignment="1">
      <alignment horizontal="center" vertical="center" wrapText="1"/>
    </xf>
    <xf numFmtId="0" fontId="0" fillId="0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2" fillId="3" borderId="1" xfId="0" applyFont="1" applyFill="1" applyBorder="1"/>
    <xf numFmtId="0" fontId="0" fillId="3" borderId="1" xfId="0" applyFill="1" applyBorder="1"/>
    <xf numFmtId="0" fontId="0" fillId="3" borderId="2" xfId="0" applyFill="1" applyBorder="1"/>
    <xf numFmtId="0" fontId="2" fillId="3" borderId="2" xfId="0" applyFont="1" applyFill="1" applyBorder="1"/>
    <xf numFmtId="0" fontId="2" fillId="0" borderId="0" xfId="0" applyFont="1"/>
    <xf numFmtId="0" fontId="3" fillId="0" borderId="0" xfId="0" applyFont="1"/>
    <xf numFmtId="0" fontId="0" fillId="0" borderId="0" xfId="0" applyFill="1" applyAlignment="1">
      <alignment horizontal="center" vertical="center"/>
    </xf>
    <xf numFmtId="0" fontId="5" fillId="0" borderId="0" xfId="0" applyFont="1" applyFill="1" applyAlignment="1">
      <alignment horizontal="left" vertic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 wrapText="1"/>
    </xf>
    <xf numFmtId="0" fontId="6" fillId="0" borderId="0" xfId="0" applyFont="1" applyFill="1" applyAlignment="1">
      <alignment horizontal="center" vertical="center"/>
    </xf>
    <xf numFmtId="0" fontId="2" fillId="4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6" borderId="6" xfId="0" applyFill="1" applyBorder="1" applyAlignment="1">
      <alignment horizontal="left" indent="1"/>
    </xf>
    <xf numFmtId="0" fontId="0" fillId="6" borderId="7" xfId="0" applyFill="1" applyBorder="1" applyAlignment="1">
      <alignment horizontal="left" indent="1"/>
    </xf>
    <xf numFmtId="0" fontId="0" fillId="6" borderId="0" xfId="0" applyFill="1" applyBorder="1" applyAlignment="1">
      <alignment horizontal="left" indent="1"/>
    </xf>
    <xf numFmtId="0" fontId="0" fillId="0" borderId="0" xfId="0" applyBorder="1" applyAlignment="1">
      <alignment horizontal="left" indent="1"/>
    </xf>
    <xf numFmtId="0" fontId="0" fillId="0" borderId="0" xfId="0" applyAlignment="1">
      <alignment horizontal="left" indent="1"/>
    </xf>
    <xf numFmtId="0" fontId="2" fillId="7" borderId="9" xfId="0" applyFont="1" applyFill="1" applyBorder="1" applyAlignment="1">
      <alignment horizontal="left" indent="1"/>
    </xf>
    <xf numFmtId="0" fontId="2" fillId="7" borderId="10" xfId="0" applyFont="1" applyFill="1" applyBorder="1" applyAlignment="1">
      <alignment horizontal="left" indent="1"/>
    </xf>
    <xf numFmtId="0" fontId="5" fillId="8" borderId="4" xfId="0" applyFont="1" applyFill="1" applyBorder="1" applyAlignment="1">
      <alignment horizontal="left" indent="1"/>
    </xf>
    <xf numFmtId="0" fontId="5" fillId="8" borderId="11" xfId="0" applyFont="1" applyFill="1" applyBorder="1" applyAlignment="1">
      <alignment horizontal="left" indent="1"/>
    </xf>
    <xf numFmtId="0" fontId="3" fillId="0" borderId="0" xfId="0" applyFont="1" applyAlignment="1">
      <alignment horizontal="center"/>
    </xf>
    <xf numFmtId="0" fontId="3" fillId="0" borderId="12" xfId="0" applyFont="1" applyBorder="1" applyAlignment="1">
      <alignment horizontal="center"/>
    </xf>
    <xf numFmtId="0" fontId="0" fillId="6" borderId="4" xfId="0" applyFill="1" applyBorder="1" applyAlignment="1">
      <alignment horizontal="left" indent="1"/>
    </xf>
    <xf numFmtId="0" fontId="0" fillId="6" borderId="12" xfId="0" applyFill="1" applyBorder="1" applyAlignment="1">
      <alignment horizontal="left" indent="1"/>
    </xf>
    <xf numFmtId="0" fontId="0" fillId="9" borderId="9" xfId="0" applyFill="1" applyBorder="1" applyAlignment="1">
      <alignment horizontal="center"/>
    </xf>
    <xf numFmtId="0" fontId="2" fillId="10" borderId="13" xfId="0" applyFont="1" applyFill="1" applyBorder="1" applyAlignment="1">
      <alignment horizontal="center"/>
    </xf>
    <xf numFmtId="0" fontId="2" fillId="5" borderId="12" xfId="0" applyFont="1" applyFill="1" applyBorder="1" applyAlignment="1">
      <alignment horizontal="center"/>
    </xf>
    <xf numFmtId="0" fontId="2" fillId="9" borderId="4" xfId="0" applyFont="1" applyFill="1" applyBorder="1" applyAlignment="1">
      <alignment horizontal="left" indent="1"/>
    </xf>
    <xf numFmtId="0" fontId="2" fillId="11" borderId="14" xfId="0" applyFont="1" applyFill="1" applyBorder="1" applyAlignment="1">
      <alignment horizontal="center"/>
    </xf>
    <xf numFmtId="0" fontId="2" fillId="12" borderId="3" xfId="0" applyFont="1" applyFill="1" applyBorder="1" applyAlignment="1">
      <alignment horizontal="left" indent="1"/>
    </xf>
    <xf numFmtId="0" fontId="2" fillId="12" borderId="9" xfId="0" applyFont="1" applyFill="1" applyBorder="1" applyAlignment="1">
      <alignment horizontal="left" indent="1"/>
    </xf>
    <xf numFmtId="0" fontId="2" fillId="7" borderId="4" xfId="0" applyFont="1" applyFill="1" applyBorder="1" applyAlignment="1">
      <alignment horizontal="left"/>
    </xf>
    <xf numFmtId="0" fontId="0" fillId="6" borderId="3" xfId="0" applyFill="1" applyBorder="1" applyAlignment="1">
      <alignment horizontal="left" indent="1"/>
    </xf>
    <xf numFmtId="0" fontId="0" fillId="6" borderId="15" xfId="0" applyFill="1" applyBorder="1" applyAlignment="1">
      <alignment horizontal="left" indent="1"/>
    </xf>
    <xf numFmtId="0" fontId="5" fillId="6" borderId="15" xfId="0" applyFont="1" applyFill="1" applyBorder="1" applyAlignment="1">
      <alignment horizontal="left" indent="1"/>
    </xf>
    <xf numFmtId="0" fontId="5" fillId="13" borderId="15" xfId="0" applyFont="1" applyFill="1" applyBorder="1" applyAlignment="1">
      <alignment horizontal="left" indent="1"/>
    </xf>
    <xf numFmtId="0" fontId="0" fillId="0" borderId="0" xfId="0" applyBorder="1"/>
    <xf numFmtId="0" fontId="0" fillId="14" borderId="8" xfId="0" applyFill="1" applyBorder="1"/>
    <xf numFmtId="0" fontId="0" fillId="6" borderId="16" xfId="0" applyFill="1" applyBorder="1" applyAlignment="1">
      <alignment horizontal="center"/>
    </xf>
    <xf numFmtId="3" fontId="0" fillId="0" borderId="0" xfId="0" applyNumberFormat="1"/>
    <xf numFmtId="1" fontId="0" fillId="0" borderId="0" xfId="0" applyNumberFormat="1"/>
    <xf numFmtId="0" fontId="0" fillId="14" borderId="0" xfId="0" applyFill="1" applyBorder="1" applyAlignment="1">
      <alignment horizontal="center"/>
    </xf>
    <xf numFmtId="0" fontId="0" fillId="14" borderId="0" xfId="0" applyFill="1" applyBorder="1" applyAlignment="1">
      <alignment horizontal="left" indent="1"/>
    </xf>
    <xf numFmtId="0" fontId="7" fillId="14" borderId="4" xfId="0" applyFont="1" applyFill="1" applyBorder="1" applyAlignment="1">
      <alignment horizontal="left" indent="1"/>
    </xf>
    <xf numFmtId="0" fontId="0" fillId="14" borderId="9" xfId="0" applyFill="1" applyBorder="1" applyAlignment="1">
      <alignment horizontal="center"/>
    </xf>
    <xf numFmtId="0" fontId="0" fillId="14" borderId="9" xfId="0" applyFill="1" applyBorder="1" applyAlignment="1">
      <alignment horizontal="left" indent="1"/>
    </xf>
    <xf numFmtId="0" fontId="0" fillId="14" borderId="10" xfId="0" applyFill="1" applyBorder="1"/>
    <xf numFmtId="0" fontId="7" fillId="14" borderId="12" xfId="0" applyFont="1" applyFill="1" applyBorder="1" applyAlignment="1">
      <alignment horizontal="left" indent="1"/>
    </xf>
    <xf numFmtId="0" fontId="3" fillId="14" borderId="14" xfId="0" applyFont="1" applyFill="1" applyBorder="1" applyAlignment="1">
      <alignment horizontal="center"/>
    </xf>
    <xf numFmtId="0" fontId="0" fillId="14" borderId="13" xfId="0" applyFill="1" applyBorder="1" applyAlignment="1">
      <alignment horizontal="center"/>
    </xf>
    <xf numFmtId="0" fontId="0" fillId="14" borderId="13" xfId="0" applyFill="1" applyBorder="1"/>
    <xf numFmtId="0" fontId="0" fillId="14" borderId="13" xfId="0" applyFill="1" applyBorder="1" applyAlignment="1">
      <alignment horizontal="left" indent="1"/>
    </xf>
    <xf numFmtId="0" fontId="0" fillId="14" borderId="17" xfId="0" applyFill="1" applyBorder="1"/>
    <xf numFmtId="0" fontId="0" fillId="15" borderId="3" xfId="0" applyFill="1" applyBorder="1" applyAlignment="1">
      <alignment horizontal="center"/>
    </xf>
    <xf numFmtId="0" fontId="0" fillId="15" borderId="15" xfId="0" applyFill="1" applyBorder="1" applyAlignment="1">
      <alignment horizontal="center"/>
    </xf>
    <xf numFmtId="0" fontId="0" fillId="15" borderId="18" xfId="0" applyFill="1" applyBorder="1" applyAlignment="1">
      <alignment horizontal="center"/>
    </xf>
    <xf numFmtId="0" fontId="0" fillId="15" borderId="19" xfId="0" applyFill="1" applyBorder="1" applyAlignment="1">
      <alignment horizontal="center"/>
    </xf>
    <xf numFmtId="0" fontId="0" fillId="0" borderId="20" xfId="0" applyBorder="1"/>
    <xf numFmtId="0" fontId="0" fillId="0" borderId="21" xfId="0" applyBorder="1"/>
    <xf numFmtId="0" fontId="0" fillId="2" borderId="0" xfId="0" applyFill="1" applyBorder="1"/>
    <xf numFmtId="1" fontId="0" fillId="2" borderId="0" xfId="0" applyNumberForma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8" borderId="11" xfId="0" applyFill="1" applyBorder="1" applyAlignment="1">
      <alignment horizontal="left" indent="1"/>
    </xf>
    <xf numFmtId="0" fontId="5" fillId="8" borderId="22" xfId="0" applyFont="1" applyFill="1" applyBorder="1" applyAlignment="1">
      <alignment horizontal="left" indent="1"/>
    </xf>
    <xf numFmtId="0" fontId="0" fillId="14" borderId="23" xfId="0" applyFill="1" applyBorder="1"/>
    <xf numFmtId="0" fontId="0" fillId="15" borderId="24" xfId="0" applyFill="1" applyBorder="1" applyAlignment="1">
      <alignment horizontal="center"/>
    </xf>
    <xf numFmtId="0" fontId="0" fillId="15" borderId="25" xfId="0" applyFill="1" applyBorder="1" applyAlignment="1">
      <alignment horizontal="center"/>
    </xf>
    <xf numFmtId="0" fontId="0" fillId="15" borderId="26" xfId="0" applyFill="1" applyBorder="1" applyAlignment="1">
      <alignment horizontal="center"/>
    </xf>
    <xf numFmtId="0" fontId="0" fillId="15" borderId="27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0" fillId="6" borderId="28" xfId="0" applyFill="1" applyBorder="1" applyAlignment="1">
      <alignment horizontal="left" indent="1"/>
    </xf>
    <xf numFmtId="0" fontId="0" fillId="16" borderId="16" xfId="0" applyFill="1" applyBorder="1"/>
    <xf numFmtId="0" fontId="0" fillId="16" borderId="5" xfId="0" applyFill="1" applyBorder="1"/>
    <xf numFmtId="0" fontId="0" fillId="0" borderId="0" xfId="0" applyFill="1" applyBorder="1"/>
    <xf numFmtId="0" fontId="0" fillId="0" borderId="29" xfId="0" applyBorder="1"/>
    <xf numFmtId="0" fontId="0" fillId="0" borderId="30" xfId="0" applyBorder="1"/>
    <xf numFmtId="0" fontId="0" fillId="16" borderId="31" xfId="0" applyFill="1" applyBorder="1"/>
    <xf numFmtId="0" fontId="0" fillId="0" borderId="0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0" fillId="0" borderId="0" xfId="0" quotePrefix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 wrapText="1"/>
    </xf>
    <xf numFmtId="0" fontId="0" fillId="14" borderId="3" xfId="0" applyFill="1" applyBorder="1"/>
    <xf numFmtId="0" fontId="2" fillId="2" borderId="0" xfId="0" applyFont="1" applyFill="1" applyBorder="1" applyAlignment="1">
      <alignment horizontal="left" indent="1"/>
    </xf>
    <xf numFmtId="0" fontId="2" fillId="17" borderId="12" xfId="0" applyFont="1" applyFill="1" applyBorder="1" applyAlignment="1">
      <alignment horizontal="center"/>
    </xf>
    <xf numFmtId="0" fontId="2" fillId="18" borderId="8" xfId="0" applyFont="1" applyFill="1" applyBorder="1" applyAlignment="1">
      <alignment horizontal="left" indent="1"/>
    </xf>
    <xf numFmtId="0" fontId="0" fillId="0" borderId="12" xfId="0" applyBorder="1"/>
    <xf numFmtId="0" fontId="0" fillId="0" borderId="13" xfId="0" applyFill="1" applyBorder="1"/>
    <xf numFmtId="0" fontId="0" fillId="6" borderId="32" xfId="0" applyFill="1" applyBorder="1" applyAlignment="1">
      <alignment horizontal="left" indent="1"/>
    </xf>
    <xf numFmtId="0" fontId="0" fillId="14" borderId="27" xfId="0" applyFill="1" applyBorder="1"/>
    <xf numFmtId="0" fontId="6" fillId="2" borderId="15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176" fontId="0" fillId="6" borderId="6" xfId="0" applyNumberFormat="1" applyFill="1" applyBorder="1" applyAlignment="1">
      <alignment horizontal="center"/>
    </xf>
    <xf numFmtId="0" fontId="5" fillId="13" borderId="0" xfId="0" applyFont="1" applyFill="1" applyBorder="1" applyAlignment="1">
      <alignment horizontal="left" indent="1"/>
    </xf>
    <xf numFmtId="0" fontId="0" fillId="14" borderId="15" xfId="0" applyFill="1" applyBorder="1"/>
    <xf numFmtId="0" fontId="0" fillId="13" borderId="33" xfId="0" applyFill="1" applyBorder="1" applyAlignment="1">
      <alignment horizontal="center"/>
    </xf>
    <xf numFmtId="0" fontId="0" fillId="13" borderId="33" xfId="0" applyFill="1" applyBorder="1" applyAlignment="1">
      <alignment horizontal="left" indent="1"/>
    </xf>
    <xf numFmtId="0" fontId="6" fillId="2" borderId="0" xfId="0" applyFont="1" applyFill="1" applyBorder="1" applyAlignment="1">
      <alignment horizontal="center" vertical="center"/>
    </xf>
    <xf numFmtId="0" fontId="0" fillId="3" borderId="34" xfId="0" applyFill="1" applyBorder="1" applyAlignment="1">
      <alignment horizontal="center"/>
    </xf>
    <xf numFmtId="0" fontId="1" fillId="6" borderId="34" xfId="0" applyFont="1" applyFill="1" applyBorder="1" applyAlignment="1">
      <alignment horizontal="left" indent="1"/>
    </xf>
    <xf numFmtId="0" fontId="0" fillId="14" borderId="25" xfId="0" applyFill="1" applyBorder="1"/>
    <xf numFmtId="0" fontId="9" fillId="19" borderId="35" xfId="0" applyFont="1" applyFill="1" applyBorder="1"/>
    <xf numFmtId="0" fontId="9" fillId="19" borderId="36" xfId="0" applyFont="1" applyFill="1" applyBorder="1" applyAlignment="1"/>
    <xf numFmtId="0" fontId="9" fillId="19" borderId="37" xfId="0" applyFont="1" applyFill="1" applyBorder="1"/>
    <xf numFmtId="0" fontId="9" fillId="19" borderId="38" xfId="0" applyFont="1" applyFill="1" applyBorder="1"/>
    <xf numFmtId="0" fontId="9" fillId="19" borderId="36" xfId="0" applyFont="1" applyFill="1" applyBorder="1"/>
    <xf numFmtId="0" fontId="0" fillId="14" borderId="39" xfId="0" applyFill="1" applyBorder="1"/>
    <xf numFmtId="0" fontId="2" fillId="0" borderId="0" xfId="0" applyFont="1" applyProtection="1"/>
    <xf numFmtId="0" fontId="2" fillId="0" borderId="0" xfId="0" applyFont="1" applyAlignment="1" applyProtection="1">
      <alignment horizontal="center"/>
    </xf>
    <xf numFmtId="0" fontId="3" fillId="0" borderId="0" xfId="0" applyFont="1" applyProtection="1"/>
    <xf numFmtId="0" fontId="0" fillId="0" borderId="0" xfId="0" applyProtection="1"/>
    <xf numFmtId="0" fontId="0" fillId="0" borderId="0" xfId="0" applyFill="1" applyProtection="1"/>
    <xf numFmtId="0" fontId="0" fillId="0" borderId="0" xfId="0" applyFill="1" applyAlignment="1" applyProtection="1">
      <alignment horizontal="center"/>
    </xf>
    <xf numFmtId="1" fontId="0" fillId="2" borderId="0" xfId="0" applyNumberFormat="1" applyFill="1" applyBorder="1" applyAlignment="1" applyProtection="1">
      <alignment horizont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0" borderId="0" xfId="0" applyFill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0" fontId="6" fillId="0" borderId="0" xfId="0" applyFont="1" applyAlignment="1" applyProtection="1">
      <alignment horizontal="center" vertical="center"/>
    </xf>
    <xf numFmtId="0" fontId="0" fillId="3" borderId="1" xfId="0" applyFill="1" applyBorder="1" applyAlignment="1">
      <alignment horizontal="center"/>
    </xf>
    <xf numFmtId="0" fontId="1" fillId="0" borderId="0" xfId="0" applyFont="1"/>
    <xf numFmtId="0" fontId="1" fillId="6" borderId="5" xfId="0" applyFont="1" applyFill="1" applyBorder="1" applyAlignment="1">
      <alignment horizontal="left" indent="1"/>
    </xf>
    <xf numFmtId="0" fontId="0" fillId="6" borderId="40" xfId="0" applyFill="1" applyBorder="1" applyAlignment="1">
      <alignment horizontal="left" indent="1"/>
    </xf>
    <xf numFmtId="0" fontId="1" fillId="6" borderId="7" xfId="0" applyFont="1" applyFill="1" applyBorder="1" applyAlignment="1">
      <alignment horizontal="left" indent="1"/>
    </xf>
    <xf numFmtId="0" fontId="6" fillId="0" borderId="0" xfId="0" applyFont="1" applyFill="1" applyBorder="1" applyAlignment="1">
      <alignment horizontal="center"/>
    </xf>
    <xf numFmtId="0" fontId="2" fillId="3" borderId="41" xfId="0" applyFont="1" applyFill="1" applyBorder="1"/>
    <xf numFmtId="0" fontId="5" fillId="0" borderId="0" xfId="0" applyFont="1" applyFill="1" applyBorder="1" applyAlignment="1">
      <alignment horizontal="center"/>
    </xf>
    <xf numFmtId="0" fontId="0" fillId="2" borderId="12" xfId="0" applyFill="1" applyBorder="1"/>
    <xf numFmtId="0" fontId="0" fillId="20" borderId="3" xfId="0" applyFill="1" applyBorder="1" applyAlignment="1">
      <alignment horizontal="center"/>
    </xf>
    <xf numFmtId="0" fontId="0" fillId="20" borderId="15" xfId="0" applyFill="1" applyBorder="1" applyAlignment="1">
      <alignment horizontal="center"/>
    </xf>
    <xf numFmtId="0" fontId="0" fillId="20" borderId="18" xfId="0" applyFill="1" applyBorder="1" applyAlignment="1">
      <alignment horizontal="center"/>
    </xf>
    <xf numFmtId="0" fontId="0" fillId="0" borderId="0" xfId="0" applyBorder="1" applyAlignment="1">
      <alignment vertical="center"/>
    </xf>
    <xf numFmtId="0" fontId="6" fillId="0" borderId="0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1" fillId="20" borderId="19" xfId="0" applyFont="1" applyFill="1" applyBorder="1" applyAlignment="1">
      <alignment horizontal="center" vertical="center"/>
    </xf>
    <xf numFmtId="0" fontId="0" fillId="2" borderId="8" xfId="0" applyFill="1" applyBorder="1"/>
    <xf numFmtId="0" fontId="6" fillId="2" borderId="9" xfId="0" applyFont="1" applyFill="1" applyBorder="1" applyAlignment="1">
      <alignment horizontal="center" vertical="center"/>
    </xf>
    <xf numFmtId="0" fontId="0" fillId="20" borderId="19" xfId="0" applyFill="1" applyBorder="1" applyAlignment="1">
      <alignment horizontal="center"/>
    </xf>
    <xf numFmtId="0" fontId="5" fillId="18" borderId="42" xfId="0" applyFont="1" applyFill="1" applyBorder="1" applyAlignment="1" applyProtection="1">
      <alignment horizontal="left"/>
    </xf>
    <xf numFmtId="0" fontId="6" fillId="2" borderId="9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/>
    </xf>
    <xf numFmtId="1" fontId="0" fillId="2" borderId="13" xfId="0" applyNumberFormat="1" applyFill="1" applyBorder="1" applyAlignment="1" applyProtection="1">
      <alignment horizontal="center"/>
    </xf>
    <xf numFmtId="0" fontId="0" fillId="20" borderId="3" xfId="0" applyFill="1" applyBorder="1" applyAlignment="1" applyProtection="1">
      <alignment horizontal="center"/>
    </xf>
    <xf numFmtId="0" fontId="0" fillId="20" borderId="15" xfId="0" applyFill="1" applyBorder="1" applyAlignment="1" applyProtection="1">
      <alignment horizontal="center"/>
    </xf>
    <xf numFmtId="0" fontId="6" fillId="2" borderId="9" xfId="0" applyFont="1" applyFill="1" applyBorder="1" applyAlignment="1" applyProtection="1">
      <alignment horizontal="center"/>
    </xf>
    <xf numFmtId="0" fontId="5" fillId="2" borderId="14" xfId="0" applyFont="1" applyFill="1" applyBorder="1" applyAlignment="1" applyProtection="1">
      <alignment horizontal="left" vertical="center"/>
    </xf>
    <xf numFmtId="1" fontId="0" fillId="2" borderId="13" xfId="0" applyNumberFormat="1" applyFill="1" applyBorder="1" applyAlignment="1" applyProtection="1">
      <alignment horizontal="center" vertical="center"/>
    </xf>
    <xf numFmtId="0" fontId="8" fillId="2" borderId="13" xfId="0" applyFont="1" applyFill="1" applyBorder="1" applyProtection="1"/>
    <xf numFmtId="0" fontId="0" fillId="2" borderId="1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center" vertical="center"/>
    </xf>
    <xf numFmtId="0" fontId="6" fillId="2" borderId="0" xfId="0" applyFont="1" applyFill="1" applyBorder="1" applyAlignment="1" applyProtection="1">
      <alignment horizontal="center" vertical="center" wrapText="1"/>
    </xf>
    <xf numFmtId="0" fontId="6" fillId="2" borderId="10" xfId="0" applyFont="1" applyFill="1" applyBorder="1" applyAlignment="1" applyProtection="1">
      <alignment horizontal="center" vertical="center" wrapText="1"/>
    </xf>
    <xf numFmtId="1" fontId="0" fillId="2" borderId="0" xfId="0" applyNumberFormat="1" applyFill="1" applyBorder="1" applyAlignment="1" applyProtection="1">
      <alignment horizontal="left"/>
    </xf>
    <xf numFmtId="1" fontId="0" fillId="2" borderId="13" xfId="0" applyNumberFormat="1" applyFill="1" applyBorder="1" applyAlignment="1" applyProtection="1">
      <alignment horizontal="left"/>
    </xf>
    <xf numFmtId="0" fontId="6" fillId="2" borderId="8" xfId="0" applyFont="1" applyFill="1" applyBorder="1" applyAlignment="1">
      <alignment horizontal="center" vertical="center"/>
    </xf>
    <xf numFmtId="0" fontId="0" fillId="21" borderId="4" xfId="0" applyFill="1" applyBorder="1"/>
    <xf numFmtId="0" fontId="0" fillId="21" borderId="12" xfId="0" applyFill="1" applyBorder="1"/>
    <xf numFmtId="0" fontId="0" fillId="22" borderId="0" xfId="0" applyFill="1"/>
    <xf numFmtId="0" fontId="2" fillId="22" borderId="4" xfId="0" applyFont="1" applyFill="1" applyBorder="1"/>
    <xf numFmtId="0" fontId="0" fillId="14" borderId="18" xfId="0" applyFill="1" applyBorder="1"/>
    <xf numFmtId="0" fontId="5" fillId="8" borderId="14" xfId="0" applyFont="1" applyFill="1" applyBorder="1" applyAlignment="1">
      <alignment horizontal="left" indent="1"/>
    </xf>
    <xf numFmtId="0" fontId="0" fillId="22" borderId="0" xfId="0" applyFill="1" applyBorder="1"/>
    <xf numFmtId="0" fontId="0" fillId="17" borderId="0" xfId="0" applyFill="1"/>
    <xf numFmtId="0" fontId="5" fillId="13" borderId="32" xfId="0" applyFont="1" applyFill="1" applyBorder="1" applyAlignment="1">
      <alignment horizontal="left" indent="1"/>
    </xf>
    <xf numFmtId="0" fontId="6" fillId="2" borderId="0" xfId="0" applyFont="1" applyFill="1" applyBorder="1" applyAlignment="1" applyProtection="1">
      <alignment horizontal="center"/>
    </xf>
    <xf numFmtId="0" fontId="0" fillId="15" borderId="44" xfId="0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Border="1" applyAlignment="1">
      <alignment horizontal="left" vertical="center"/>
    </xf>
    <xf numFmtId="0" fontId="6" fillId="2" borderId="8" xfId="0" applyFont="1" applyFill="1" applyBorder="1" applyAlignment="1" applyProtection="1">
      <alignment horizontal="center"/>
    </xf>
    <xf numFmtId="0" fontId="5" fillId="13" borderId="3" xfId="0" applyFont="1" applyFill="1" applyBorder="1" applyAlignment="1">
      <alignment horizontal="left" indent="1"/>
    </xf>
    <xf numFmtId="0" fontId="1" fillId="6" borderId="11" xfId="0" applyFont="1" applyFill="1" applyBorder="1" applyAlignment="1">
      <alignment horizontal="left" indent="1"/>
    </xf>
    <xf numFmtId="0" fontId="0" fillId="2" borderId="12" xfId="0" applyFill="1" applyBorder="1" applyAlignment="1">
      <alignment horizontal="left"/>
    </xf>
    <xf numFmtId="0" fontId="5" fillId="8" borderId="28" xfId="0" applyFont="1" applyFill="1" applyBorder="1" applyAlignment="1">
      <alignment horizontal="center"/>
    </xf>
    <xf numFmtId="0" fontId="5" fillId="8" borderId="45" xfId="0" applyFont="1" applyFill="1" applyBorder="1" applyAlignment="1">
      <alignment horizontal="center"/>
    </xf>
    <xf numFmtId="0" fontId="2" fillId="23" borderId="18" xfId="0" applyFont="1" applyFill="1" applyBorder="1" applyAlignment="1">
      <alignment horizontal="left" indent="1"/>
    </xf>
    <xf numFmtId="0" fontId="2" fillId="4" borderId="18" xfId="0" applyFont="1" applyFill="1" applyBorder="1" applyAlignment="1">
      <alignment horizontal="center"/>
    </xf>
    <xf numFmtId="0" fontId="1" fillId="20" borderId="47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left" vertic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6" fillId="2" borderId="15" xfId="0" applyFont="1" applyFill="1" applyBorder="1" applyAlignment="1">
      <alignment horizontal="center" vertical="center" wrapText="1"/>
    </xf>
    <xf numFmtId="0" fontId="0" fillId="2" borderId="1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6" borderId="23" xfId="0" applyFill="1" applyBorder="1" applyAlignment="1">
      <alignment horizontal="left" indent="1"/>
    </xf>
    <xf numFmtId="0" fontId="1" fillId="6" borderId="49" xfId="0" applyFont="1" applyFill="1" applyBorder="1" applyAlignment="1">
      <alignment horizontal="left" indent="1"/>
    </xf>
    <xf numFmtId="0" fontId="3" fillId="0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/>
    </xf>
    <xf numFmtId="0" fontId="5" fillId="0" borderId="9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left" vertical="center"/>
    </xf>
    <xf numFmtId="0" fontId="6" fillId="0" borderId="9" xfId="0" applyFont="1" applyFill="1" applyBorder="1" applyAlignment="1">
      <alignment horizontal="center" vertical="center" wrapText="1"/>
    </xf>
    <xf numFmtId="0" fontId="6" fillId="0" borderId="9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0" fillId="0" borderId="8" xfId="0" applyBorder="1" applyAlignment="1">
      <alignment vertical="center"/>
    </xf>
    <xf numFmtId="0" fontId="3" fillId="21" borderId="10" xfId="0" applyFont="1" applyFill="1" applyBorder="1" applyAlignment="1">
      <alignment horizontal="center" vertical="center"/>
    </xf>
    <xf numFmtId="0" fontId="0" fillId="21" borderId="9" xfId="0" applyFill="1" applyBorder="1"/>
    <xf numFmtId="0" fontId="0" fillId="21" borderId="0" xfId="0" applyFill="1" applyBorder="1"/>
    <xf numFmtId="0" fontId="0" fillId="21" borderId="8" xfId="0" applyFill="1" applyBorder="1"/>
    <xf numFmtId="0" fontId="0" fillId="21" borderId="8" xfId="0" applyFill="1" applyBorder="1" applyAlignment="1">
      <alignment vertical="center"/>
    </xf>
    <xf numFmtId="0" fontId="0" fillId="21" borderId="14" xfId="0" applyFill="1" applyBorder="1"/>
    <xf numFmtId="0" fontId="0" fillId="21" borderId="13" xfId="0" applyFill="1" applyBorder="1"/>
    <xf numFmtId="0" fontId="0" fillId="21" borderId="17" xfId="0" applyFill="1" applyBorder="1"/>
    <xf numFmtId="0" fontId="3" fillId="21" borderId="17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left" vertical="center"/>
    </xf>
    <xf numFmtId="0" fontId="5" fillId="2" borderId="41" xfId="0" applyFont="1" applyFill="1" applyBorder="1" applyAlignment="1">
      <alignment horizontal="left" vertical="center"/>
    </xf>
    <xf numFmtId="0" fontId="0" fillId="2" borderId="1" xfId="0" applyFill="1" applyBorder="1" applyAlignment="1">
      <alignment horizontal="left"/>
    </xf>
    <xf numFmtId="0" fontId="6" fillId="2" borderId="1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/>
    </xf>
    <xf numFmtId="1" fontId="0" fillId="2" borderId="50" xfId="0" applyNumberFormat="1" applyFill="1" applyBorder="1" applyAlignment="1" applyProtection="1">
      <alignment horizontal="left"/>
    </xf>
    <xf numFmtId="1" fontId="0" fillId="2" borderId="12" xfId="0" applyNumberFormat="1" applyFill="1" applyBorder="1" applyAlignment="1" applyProtection="1">
      <alignment horizontal="left"/>
    </xf>
    <xf numFmtId="0" fontId="6" fillId="2" borderId="0" xfId="0" applyFont="1" applyFill="1" applyBorder="1" applyAlignment="1" applyProtection="1">
      <alignment horizontal="right"/>
    </xf>
    <xf numFmtId="1" fontId="0" fillId="20" borderId="3" xfId="0" applyNumberFormat="1" applyFill="1" applyBorder="1" applyAlignment="1" applyProtection="1">
      <alignment horizontal="center"/>
    </xf>
    <xf numFmtId="1" fontId="0" fillId="20" borderId="15" xfId="0" applyNumberFormat="1" applyFill="1" applyBorder="1" applyAlignment="1" applyProtection="1">
      <alignment horizontal="center"/>
    </xf>
    <xf numFmtId="1" fontId="0" fillId="15" borderId="3" xfId="0" applyNumberFormat="1" applyFill="1" applyBorder="1" applyAlignment="1" applyProtection="1">
      <alignment horizontal="center"/>
    </xf>
    <xf numFmtId="1" fontId="0" fillId="15" borderId="15" xfId="0" applyNumberFormat="1" applyFill="1" applyBorder="1" applyAlignment="1" applyProtection="1">
      <alignment horizontal="center"/>
    </xf>
    <xf numFmtId="1" fontId="0" fillId="15" borderId="18" xfId="0" applyNumberFormat="1" applyFill="1" applyBorder="1" applyAlignment="1" applyProtection="1">
      <alignment horizontal="center"/>
    </xf>
    <xf numFmtId="1" fontId="5" fillId="2" borderId="0" xfId="0" applyNumberFormat="1" applyFont="1" applyFill="1" applyBorder="1" applyAlignment="1" applyProtection="1">
      <alignment horizontal="right"/>
    </xf>
    <xf numFmtId="0" fontId="0" fillId="15" borderId="51" xfId="0" applyFill="1" applyBorder="1" applyAlignment="1">
      <alignment horizontal="center"/>
    </xf>
    <xf numFmtId="1" fontId="0" fillId="6" borderId="16" xfId="0" applyNumberFormat="1" applyFill="1" applyBorder="1" applyAlignment="1">
      <alignment horizontal="left" indent="1"/>
    </xf>
    <xf numFmtId="177" fontId="0" fillId="0" borderId="0" xfId="0" applyNumberFormat="1" applyFill="1" applyBorder="1" applyAlignment="1">
      <alignment horizontal="center"/>
    </xf>
    <xf numFmtId="179" fontId="0" fillId="0" borderId="0" xfId="0" applyNumberFormat="1" applyFill="1" applyBorder="1" applyAlignment="1">
      <alignment horizontal="center"/>
    </xf>
    <xf numFmtId="178" fontId="0" fillId="0" borderId="0" xfId="0" applyNumberFormat="1" applyFill="1" applyBorder="1" applyAlignment="1">
      <alignment horizontal="center"/>
    </xf>
    <xf numFmtId="0" fontId="2" fillId="3" borderId="13" xfId="0" applyFont="1" applyFill="1" applyBorder="1"/>
    <xf numFmtId="0" fontId="2" fillId="3" borderId="17" xfId="0" applyFont="1" applyFill="1" applyBorder="1"/>
    <xf numFmtId="0" fontId="0" fillId="0" borderId="13" xfId="0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5" fillId="18" borderId="3" xfId="0" applyFont="1" applyFill="1" applyBorder="1" applyAlignment="1">
      <alignment horizontal="center" vertical="center"/>
    </xf>
    <xf numFmtId="0" fontId="5" fillId="18" borderId="15" xfId="0" applyFont="1" applyFill="1" applyBorder="1" applyAlignment="1">
      <alignment horizontal="center"/>
    </xf>
    <xf numFmtId="0" fontId="5" fillId="18" borderId="18" xfId="0" applyFont="1" applyFill="1" applyBorder="1" applyAlignment="1">
      <alignment horizontal="center"/>
    </xf>
    <xf numFmtId="1" fontId="0" fillId="0" borderId="13" xfId="0" applyNumberFormat="1" applyFill="1" applyBorder="1" applyAlignment="1" applyProtection="1">
      <alignment horizontal="center"/>
    </xf>
    <xf numFmtId="0" fontId="5" fillId="13" borderId="9" xfId="0" applyFont="1" applyFill="1" applyBorder="1" applyAlignment="1">
      <alignment horizontal="left" indent="1"/>
    </xf>
    <xf numFmtId="0" fontId="5" fillId="13" borderId="11" xfId="0" applyFont="1" applyFill="1" applyBorder="1" applyAlignment="1">
      <alignment horizontal="center"/>
    </xf>
    <xf numFmtId="0" fontId="5" fillId="13" borderId="11" xfId="0" applyFont="1" applyFill="1" applyBorder="1" applyAlignment="1">
      <alignment horizontal="left" indent="1"/>
    </xf>
    <xf numFmtId="0" fontId="0" fillId="13" borderId="48" xfId="0" applyFill="1" applyBorder="1" applyAlignment="1">
      <alignment horizontal="left" indent="1"/>
    </xf>
    <xf numFmtId="0" fontId="0" fillId="6" borderId="53" xfId="0" applyFill="1" applyBorder="1" applyAlignment="1">
      <alignment horizontal="center"/>
    </xf>
    <xf numFmtId="1" fontId="0" fillId="6" borderId="53" xfId="0" applyNumberFormat="1" applyFill="1" applyBorder="1" applyAlignment="1">
      <alignment horizontal="left" indent="1"/>
    </xf>
    <xf numFmtId="0" fontId="0" fillId="6" borderId="54" xfId="0" applyFill="1" applyBorder="1" applyAlignment="1">
      <alignment horizontal="left" indent="1"/>
    </xf>
    <xf numFmtId="0" fontId="5" fillId="18" borderId="54" xfId="0" applyFont="1" applyFill="1" applyBorder="1" applyAlignment="1" applyProtection="1">
      <alignment horizontal="right"/>
    </xf>
    <xf numFmtId="0" fontId="1" fillId="6" borderId="55" xfId="0" applyFont="1" applyFill="1" applyBorder="1" applyAlignment="1">
      <alignment horizontal="left" indent="1"/>
    </xf>
    <xf numFmtId="0" fontId="0" fillId="6" borderId="49" xfId="0" applyFill="1" applyBorder="1" applyAlignment="1">
      <alignment horizontal="left" indent="1"/>
    </xf>
    <xf numFmtId="1" fontId="5" fillId="6" borderId="34" xfId="0" applyNumberFormat="1" applyFont="1" applyFill="1" applyBorder="1" applyAlignment="1">
      <alignment horizontal="center"/>
    </xf>
    <xf numFmtId="0" fontId="0" fillId="6" borderId="16" xfId="0" applyFill="1" applyBorder="1" applyAlignment="1">
      <alignment horizontal="left" indent="1"/>
    </xf>
    <xf numFmtId="176" fontId="0" fillId="6" borderId="7" xfId="0" applyNumberFormat="1" applyFill="1" applyBorder="1" applyAlignment="1">
      <alignment horizontal="center"/>
    </xf>
    <xf numFmtId="176" fontId="0" fillId="6" borderId="5" xfId="0" applyNumberFormat="1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176" fontId="0" fillId="24" borderId="23" xfId="0" applyNumberFormat="1" applyFill="1" applyBorder="1" applyAlignment="1">
      <alignment horizontal="center"/>
    </xf>
    <xf numFmtId="176" fontId="0" fillId="24" borderId="8" xfId="0" applyNumberFormat="1" applyFill="1" applyBorder="1" applyAlignment="1">
      <alignment horizontal="center"/>
    </xf>
    <xf numFmtId="176" fontId="0" fillId="24" borderId="58" xfId="0" applyNumberFormat="1" applyFill="1" applyBorder="1" applyAlignment="1">
      <alignment horizontal="center"/>
    </xf>
    <xf numFmtId="176" fontId="0" fillId="24" borderId="0" xfId="0" applyNumberFormat="1" applyFill="1" applyBorder="1" applyAlignment="1">
      <alignment horizontal="center"/>
    </xf>
    <xf numFmtId="0" fontId="0" fillId="24" borderId="12" xfId="0" applyFill="1" applyBorder="1"/>
    <xf numFmtId="0" fontId="0" fillId="24" borderId="0" xfId="0" applyFill="1" applyBorder="1"/>
    <xf numFmtId="0" fontId="0" fillId="24" borderId="8" xfId="0" applyFill="1" applyBorder="1"/>
    <xf numFmtId="0" fontId="5" fillId="24" borderId="12" xfId="0" applyFont="1" applyFill="1" applyBorder="1" applyAlignment="1">
      <alignment horizontal="left" vertical="center"/>
    </xf>
    <xf numFmtId="0" fontId="6" fillId="24" borderId="0" xfId="0" applyFont="1" applyFill="1" applyBorder="1" applyAlignment="1">
      <alignment horizontal="center" vertical="center" wrapText="1"/>
    </xf>
    <xf numFmtId="0" fontId="6" fillId="24" borderId="0" xfId="0" applyFont="1" applyFill="1" applyBorder="1" applyAlignment="1">
      <alignment horizontal="center" vertical="center"/>
    </xf>
    <xf numFmtId="0" fontId="5" fillId="24" borderId="14" xfId="0" applyFont="1" applyFill="1" applyBorder="1" applyAlignment="1">
      <alignment horizontal="left" vertical="center"/>
    </xf>
    <xf numFmtId="0" fontId="6" fillId="24" borderId="13" xfId="0" applyFont="1" applyFill="1" applyBorder="1" applyAlignment="1">
      <alignment horizontal="center" vertical="center" wrapText="1"/>
    </xf>
    <xf numFmtId="0" fontId="6" fillId="24" borderId="13" xfId="0" applyFont="1" applyFill="1" applyBorder="1" applyAlignment="1">
      <alignment horizontal="center" vertical="center"/>
    </xf>
    <xf numFmtId="0" fontId="0" fillId="24" borderId="17" xfId="0" applyFill="1" applyBorder="1"/>
    <xf numFmtId="176" fontId="0" fillId="24" borderId="13" xfId="0" applyNumberFormat="1" applyFill="1" applyBorder="1" applyAlignment="1">
      <alignment horizontal="center"/>
    </xf>
    <xf numFmtId="176" fontId="0" fillId="24" borderId="17" xfId="0" applyNumberFormat="1" applyFill="1" applyBorder="1" applyAlignment="1">
      <alignment horizontal="center"/>
    </xf>
    <xf numFmtId="0" fontId="6" fillId="24" borderId="9" xfId="0" applyFont="1" applyFill="1" applyBorder="1" applyAlignment="1">
      <alignment horizontal="center" vertical="center" wrapText="1"/>
    </xf>
    <xf numFmtId="0" fontId="6" fillId="24" borderId="9" xfId="0" applyFont="1" applyFill="1" applyBorder="1" applyAlignment="1">
      <alignment horizontal="center" vertical="center"/>
    </xf>
    <xf numFmtId="1" fontId="0" fillId="24" borderId="0" xfId="0" applyNumberFormat="1" applyFill="1" applyBorder="1" applyAlignment="1">
      <alignment horizontal="center"/>
    </xf>
    <xf numFmtId="0" fontId="6" fillId="24" borderId="10" xfId="0" applyFont="1" applyFill="1" applyBorder="1" applyAlignment="1">
      <alignment horizontal="center" vertical="center"/>
    </xf>
    <xf numFmtId="0" fontId="5" fillId="24" borderId="41" xfId="0" applyFont="1" applyFill="1" applyBorder="1" applyAlignment="1">
      <alignment horizontal="left" vertical="center"/>
    </xf>
    <xf numFmtId="0" fontId="6" fillId="24" borderId="1" xfId="0" applyFont="1" applyFill="1" applyBorder="1" applyAlignment="1">
      <alignment horizontal="center" vertical="center" wrapText="1"/>
    </xf>
    <xf numFmtId="0" fontId="6" fillId="24" borderId="1" xfId="0" applyFont="1" applyFill="1" applyBorder="1" applyAlignment="1">
      <alignment horizontal="center" vertical="center"/>
    </xf>
    <xf numFmtId="0" fontId="0" fillId="24" borderId="2" xfId="0" applyFill="1" applyBorder="1"/>
    <xf numFmtId="2" fontId="0" fillId="6" borderId="34" xfId="0" applyNumberFormat="1" applyFill="1" applyBorder="1" applyAlignment="1">
      <alignment horizontal="center"/>
    </xf>
    <xf numFmtId="2" fontId="0" fillId="6" borderId="32" xfId="0" applyNumberFormat="1" applyFill="1" applyBorder="1" applyAlignment="1">
      <alignment horizontal="center"/>
    </xf>
    <xf numFmtId="2" fontId="0" fillId="6" borderId="40" xfId="0" applyNumberFormat="1" applyFill="1" applyBorder="1" applyAlignment="1">
      <alignment horizontal="center"/>
    </xf>
    <xf numFmtId="0" fontId="0" fillId="6" borderId="34" xfId="0" applyFill="1" applyBorder="1" applyAlignment="1">
      <alignment horizontal="left" indent="1"/>
    </xf>
    <xf numFmtId="0" fontId="0" fillId="6" borderId="43" xfId="0" applyFill="1" applyBorder="1" applyAlignment="1">
      <alignment horizontal="left" indent="1"/>
    </xf>
    <xf numFmtId="0" fontId="0" fillId="6" borderId="6" xfId="0" applyFont="1" applyFill="1" applyBorder="1" applyAlignment="1">
      <alignment horizontal="left" indent="1"/>
    </xf>
    <xf numFmtId="0" fontId="0" fillId="6" borderId="46" xfId="0" applyFill="1" applyBorder="1" applyAlignment="1">
      <alignment horizontal="left" indent="1"/>
    </xf>
    <xf numFmtId="0" fontId="0" fillId="6" borderId="10" xfId="0" applyFill="1" applyBorder="1" applyAlignment="1">
      <alignment horizontal="left" indent="1"/>
    </xf>
    <xf numFmtId="0" fontId="0" fillId="6" borderId="61" xfId="0" applyFill="1" applyBorder="1" applyAlignment="1">
      <alignment horizontal="left" indent="1"/>
    </xf>
    <xf numFmtId="0" fontId="0" fillId="6" borderId="18" xfId="0" applyFill="1" applyBorder="1" applyAlignment="1">
      <alignment horizontal="left" indent="1"/>
    </xf>
    <xf numFmtId="0" fontId="0" fillId="20" borderId="39" xfId="0" applyFill="1" applyBorder="1" applyAlignment="1" applyProtection="1">
      <alignment horizontal="center"/>
    </xf>
    <xf numFmtId="1" fontId="0" fillId="20" borderId="39" xfId="0" applyNumberFormat="1" applyFill="1" applyBorder="1" applyAlignment="1" applyProtection="1">
      <alignment horizontal="center"/>
    </xf>
    <xf numFmtId="0" fontId="0" fillId="20" borderId="27" xfId="0" applyFill="1" applyBorder="1" applyAlignment="1" applyProtection="1">
      <alignment horizontal="center"/>
    </xf>
    <xf numFmtId="1" fontId="0" fillId="20" borderId="27" xfId="0" applyNumberFormat="1" applyFill="1" applyBorder="1" applyAlignment="1" applyProtection="1">
      <alignment horizontal="center"/>
    </xf>
    <xf numFmtId="1" fontId="5" fillId="6" borderId="32" xfId="0" applyNumberFormat="1" applyFont="1" applyFill="1" applyBorder="1" applyAlignment="1">
      <alignment horizontal="center"/>
    </xf>
    <xf numFmtId="1" fontId="5" fillId="2" borderId="58" xfId="0" applyNumberFormat="1" applyFont="1" applyFill="1" applyBorder="1" applyAlignment="1" applyProtection="1">
      <alignment horizontal="right"/>
    </xf>
    <xf numFmtId="0" fontId="6" fillId="2" borderId="58" xfId="0" applyFont="1" applyFill="1" applyBorder="1" applyAlignment="1" applyProtection="1">
      <alignment horizontal="right"/>
    </xf>
    <xf numFmtId="1" fontId="0" fillId="2" borderId="58" xfId="0" applyNumberFormat="1" applyFill="1" applyBorder="1" applyAlignment="1" applyProtection="1">
      <alignment horizontal="left"/>
    </xf>
    <xf numFmtId="1" fontId="0" fillId="2" borderId="58" xfId="0" applyNumberFormat="1" applyFill="1" applyBorder="1" applyAlignment="1" applyProtection="1">
      <alignment horizontal="center"/>
    </xf>
    <xf numFmtId="1" fontId="0" fillId="2" borderId="37" xfId="0" applyNumberFormat="1" applyFill="1" applyBorder="1" applyAlignment="1" applyProtection="1">
      <alignment horizontal="left"/>
    </xf>
    <xf numFmtId="1" fontId="5" fillId="2" borderId="62" xfId="0" applyNumberFormat="1" applyFont="1" applyFill="1" applyBorder="1" applyAlignment="1" applyProtection="1">
      <alignment horizontal="right"/>
    </xf>
    <xf numFmtId="0" fontId="6" fillId="2" borderId="62" xfId="0" applyFont="1" applyFill="1" applyBorder="1" applyAlignment="1" applyProtection="1">
      <alignment horizontal="right"/>
    </xf>
    <xf numFmtId="1" fontId="0" fillId="2" borderId="62" xfId="0" applyNumberFormat="1" applyFill="1" applyBorder="1" applyAlignment="1" applyProtection="1">
      <alignment horizontal="left"/>
    </xf>
    <xf numFmtId="1" fontId="0" fillId="2" borderId="62" xfId="0" applyNumberFormat="1" applyFill="1" applyBorder="1" applyAlignment="1" applyProtection="1">
      <alignment horizontal="center"/>
    </xf>
    <xf numFmtId="1" fontId="5" fillId="6" borderId="40" xfId="0" applyNumberFormat="1" applyFont="1" applyFill="1" applyBorder="1" applyAlignment="1">
      <alignment horizontal="center"/>
    </xf>
    <xf numFmtId="1" fontId="0" fillId="2" borderId="0" xfId="0" applyNumberFormat="1" applyFill="1" applyBorder="1" applyAlignment="1" applyProtection="1">
      <alignment horizontal="center" vertical="center"/>
    </xf>
    <xf numFmtId="0" fontId="8" fillId="2" borderId="0" xfId="0" applyFont="1" applyFill="1" applyBorder="1" applyProtection="1"/>
    <xf numFmtId="0" fontId="5" fillId="2" borderId="12" xfId="0" applyFont="1" applyFill="1" applyBorder="1" applyAlignment="1" applyProtection="1">
      <alignment horizontal="left" vertical="center"/>
    </xf>
    <xf numFmtId="0" fontId="0" fillId="2" borderId="8" xfId="0" applyFill="1" applyBorder="1" applyAlignment="1" applyProtection="1">
      <alignment vertical="center"/>
    </xf>
    <xf numFmtId="0" fontId="0" fillId="24" borderId="13" xfId="0" applyFill="1" applyBorder="1"/>
    <xf numFmtId="0" fontId="5" fillId="24" borderId="12" xfId="0" applyFont="1" applyFill="1" applyBorder="1" applyAlignment="1">
      <alignment horizontal="center"/>
    </xf>
    <xf numFmtId="0" fontId="0" fillId="24" borderId="14" xfId="0" applyFill="1" applyBorder="1"/>
    <xf numFmtId="0" fontId="0" fillId="6" borderId="8" xfId="0" applyFill="1" applyBorder="1" applyAlignment="1">
      <alignment horizontal="left" indent="1"/>
    </xf>
    <xf numFmtId="2" fontId="0" fillId="24" borderId="23" xfId="0" applyNumberFormat="1" applyFill="1" applyBorder="1" applyAlignment="1">
      <alignment horizontal="center"/>
    </xf>
    <xf numFmtId="2" fontId="0" fillId="24" borderId="8" xfId="0" applyNumberFormat="1" applyFill="1" applyBorder="1" applyAlignment="1">
      <alignment horizontal="center"/>
    </xf>
    <xf numFmtId="0" fontId="0" fillId="25" borderId="18" xfId="0" applyFill="1" applyBorder="1" applyAlignment="1" applyProtection="1">
      <alignment horizontal="center"/>
    </xf>
    <xf numFmtId="1" fontId="0" fillId="25" borderId="18" xfId="0" applyNumberFormat="1" applyFill="1" applyBorder="1" applyAlignment="1" applyProtection="1">
      <alignment horizontal="center"/>
    </xf>
    <xf numFmtId="0" fontId="0" fillId="14" borderId="24" xfId="0" applyFill="1" applyBorder="1"/>
    <xf numFmtId="0" fontId="0" fillId="14" borderId="26" xfId="0" applyFill="1" applyBorder="1"/>
    <xf numFmtId="0" fontId="0" fillId="0" borderId="10" xfId="0" applyBorder="1"/>
    <xf numFmtId="0" fontId="0" fillId="0" borderId="17" xfId="0" applyBorder="1"/>
    <xf numFmtId="0" fontId="14" fillId="0" borderId="0" xfId="0" applyFont="1" applyFill="1" applyProtection="1"/>
    <xf numFmtId="176" fontId="0" fillId="26" borderId="6" xfId="0" applyNumberFormat="1" applyFill="1" applyBorder="1" applyAlignment="1">
      <alignment horizontal="center"/>
    </xf>
    <xf numFmtId="176" fontId="0" fillId="26" borderId="7" xfId="0" applyNumberFormat="1" applyFill="1" applyBorder="1" applyAlignment="1">
      <alignment horizontal="center"/>
    </xf>
    <xf numFmtId="0" fontId="0" fillId="24" borderId="50" xfId="0" applyFill="1" applyBorder="1" applyAlignment="1">
      <alignment horizontal="center"/>
    </xf>
    <xf numFmtId="178" fontId="0" fillId="24" borderId="37" xfId="0" applyNumberFormat="1" applyFill="1" applyBorder="1" applyAlignment="1">
      <alignment horizontal="center"/>
    </xf>
    <xf numFmtId="0" fontId="0" fillId="24" borderId="54" xfId="0" applyFill="1" applyBorder="1"/>
    <xf numFmtId="0" fontId="0" fillId="24" borderId="46" xfId="0" applyFill="1" applyBorder="1"/>
    <xf numFmtId="0" fontId="0" fillId="24" borderId="54" xfId="0" applyFill="1" applyBorder="1" applyAlignment="1">
      <alignment horizontal="center"/>
    </xf>
    <xf numFmtId="0" fontId="0" fillId="24" borderId="43" xfId="0" applyFill="1" applyBorder="1"/>
    <xf numFmtId="0" fontId="15" fillId="24" borderId="57" xfId="0" applyFont="1" applyFill="1" applyBorder="1" applyAlignment="1">
      <alignment horizontal="center" wrapText="1"/>
    </xf>
    <xf numFmtId="0" fontId="15" fillId="24" borderId="33" xfId="0" applyFont="1" applyFill="1" applyBorder="1" applyAlignment="1">
      <alignment horizontal="center" wrapText="1"/>
    </xf>
    <xf numFmtId="0" fontId="15" fillId="24" borderId="20" xfId="0" applyFont="1" applyFill="1" applyBorder="1" applyAlignment="1">
      <alignment horizontal="center" wrapText="1"/>
    </xf>
    <xf numFmtId="0" fontId="6" fillId="24" borderId="6" xfId="0" applyFont="1" applyFill="1" applyBorder="1" applyAlignment="1">
      <alignment horizontal="center" vertical="center"/>
    </xf>
    <xf numFmtId="177" fontId="0" fillId="6" borderId="6" xfId="0" applyNumberFormat="1" applyFill="1" applyBorder="1" applyAlignment="1">
      <alignment horizontal="center"/>
    </xf>
    <xf numFmtId="177" fontId="0" fillId="6" borderId="7" xfId="0" applyNumberFormat="1" applyFill="1" applyBorder="1" applyAlignment="1">
      <alignment horizontal="center"/>
    </xf>
    <xf numFmtId="177" fontId="0" fillId="6" borderId="5" xfId="0" applyNumberFormat="1" applyFill="1" applyBorder="1" applyAlignment="1">
      <alignment horizontal="center"/>
    </xf>
    <xf numFmtId="0" fontId="0" fillId="20" borderId="0" xfId="0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0" fillId="15" borderId="4" xfId="0" applyFill="1" applyBorder="1" applyAlignment="1">
      <alignment horizontal="center"/>
    </xf>
    <xf numFmtId="0" fontId="0" fillId="15" borderId="12" xfId="0" applyFill="1" applyBorder="1" applyAlignment="1">
      <alignment horizontal="center"/>
    </xf>
    <xf numFmtId="0" fontId="0" fillId="15" borderId="14" xfId="0" applyFill="1" applyBorder="1" applyAlignment="1">
      <alignment horizontal="center"/>
    </xf>
    <xf numFmtId="0" fontId="0" fillId="27" borderId="18" xfId="0" applyFill="1" applyBorder="1" applyAlignment="1">
      <alignment horizontal="center"/>
    </xf>
    <xf numFmtId="0" fontId="1" fillId="0" borderId="0" xfId="0" applyFont="1" applyFill="1"/>
    <xf numFmtId="0" fontId="0" fillId="20" borderId="4" xfId="0" applyFill="1" applyBorder="1" applyAlignment="1">
      <alignment horizontal="center"/>
    </xf>
    <xf numFmtId="0" fontId="0" fillId="20" borderId="12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19" borderId="59" xfId="0" applyFill="1" applyBorder="1"/>
    <xf numFmtId="0" fontId="0" fillId="19" borderId="52" xfId="0" applyFill="1" applyBorder="1"/>
    <xf numFmtId="0" fontId="0" fillId="19" borderId="56" xfId="0" applyFill="1" applyBorder="1"/>
    <xf numFmtId="0" fontId="0" fillId="19" borderId="47" xfId="0" applyFill="1" applyBorder="1" applyAlignment="1"/>
    <xf numFmtId="0" fontId="0" fillId="19" borderId="16" xfId="0" applyFill="1" applyBorder="1" applyAlignment="1"/>
    <xf numFmtId="0" fontId="0" fillId="19" borderId="49" xfId="0" applyFill="1" applyBorder="1" applyAlignment="1"/>
    <xf numFmtId="0" fontId="10" fillId="14" borderId="41" xfId="0" applyFont="1" applyFill="1" applyBorder="1" applyAlignment="1">
      <alignment horizontal="center"/>
    </xf>
    <xf numFmtId="0" fontId="11" fillId="14" borderId="1" xfId="0" applyFont="1" applyFill="1" applyBorder="1" applyAlignment="1">
      <alignment horizontal="center"/>
    </xf>
    <xf numFmtId="0" fontId="11" fillId="14" borderId="2" xfId="0" applyFont="1" applyFill="1" applyBorder="1" applyAlignment="1">
      <alignment horizontal="center"/>
    </xf>
    <xf numFmtId="0" fontId="0" fillId="19" borderId="60" xfId="0" applyFill="1" applyBorder="1" applyAlignment="1"/>
    <xf numFmtId="0" fontId="0" fillId="19" borderId="53" xfId="0" applyFill="1" applyBorder="1" applyAlignment="1"/>
    <xf numFmtId="0" fontId="0" fillId="19" borderId="55" xfId="0" applyFill="1" applyBorder="1" applyAlignment="1"/>
    <xf numFmtId="0" fontId="4" fillId="22" borderId="1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</cellXfs>
  <cellStyles count="2">
    <cellStyle name="Euro" xfId="1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823754686560537E-2"/>
          <c:y val="6.4516129032258063E-2"/>
          <c:w val="0.90980740581880293"/>
          <c:h val="0.8258064516129032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Configuration!$D$80:$D$86</c:f>
              <c:numCache>
                <c:formatCode>0.0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Configuration!$G$80:$G$86</c:f>
              <c:numCache>
                <c:formatCode>0.00</c:formatCode>
                <c:ptCount val="7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27936"/>
        <c:axId val="59530624"/>
      </c:scatterChart>
      <c:valAx>
        <c:axId val="59527936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59530624"/>
        <c:crosses val="autoZero"/>
        <c:crossBetween val="midCat"/>
      </c:valAx>
      <c:valAx>
        <c:axId val="595306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595279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823754686560537E-2"/>
          <c:y val="6.4516129032258063E-2"/>
          <c:w val="0.90980740581880293"/>
          <c:h val="0.8258064516129032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Configuration!$D$151:$D$157</c:f>
              <c:numCache>
                <c:formatCode>0.0</c:formatCode>
                <c:ptCount val="7"/>
                <c:pt idx="0">
                  <c:v>-20</c:v>
                </c:pt>
                <c:pt idx="1">
                  <c:v>-10</c:v>
                </c:pt>
                <c:pt idx="2">
                  <c:v>0</c:v>
                </c:pt>
                <c:pt idx="3">
                  <c:v>10</c:v>
                </c:pt>
                <c:pt idx="4">
                  <c:v>20</c:v>
                </c:pt>
                <c:pt idx="5">
                  <c:v>30</c:v>
                </c:pt>
                <c:pt idx="6">
                  <c:v>40</c:v>
                </c:pt>
              </c:numCache>
            </c:numRef>
          </c:xVal>
          <c:yVal>
            <c:numRef>
              <c:f>Configuration!$G$151:$G$157</c:f>
              <c:numCache>
                <c:formatCode>0.00</c:formatCode>
                <c:ptCount val="7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030976"/>
        <c:axId val="62032896"/>
      </c:scatterChart>
      <c:valAx>
        <c:axId val="62030976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62032896"/>
        <c:crosses val="autoZero"/>
        <c:crossBetween val="midCat"/>
      </c:valAx>
      <c:valAx>
        <c:axId val="620328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620309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5.8823754686560537E-2"/>
          <c:y val="6.4516129032258063E-2"/>
          <c:w val="0.90980740581880293"/>
          <c:h val="0.8258064516129032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Configuration!$C$202</c:f>
              <c:strCache>
                <c:ptCount val="1"/>
                <c:pt idx="0">
                  <c:v>Sensor Register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Configuration!$D$203:$D$211</c:f>
              <c:numCache>
                <c:formatCode>0.00;[Red]0.00</c:formatCode>
                <c:ptCount val="9"/>
                <c:pt idx="0">
                  <c:v>0.17</c:v>
                </c:pt>
                <c:pt idx="1">
                  <c:v>0.48</c:v>
                </c:pt>
                <c:pt idx="2">
                  <c:v>0.97</c:v>
                </c:pt>
                <c:pt idx="3">
                  <c:v>1.1499999999999999</c:v>
                </c:pt>
                <c:pt idx="4">
                  <c:v>1.35</c:v>
                </c:pt>
                <c:pt idx="5">
                  <c:v>1.59</c:v>
                </c:pt>
                <c:pt idx="6">
                  <c:v>2.4500000000000002</c:v>
                </c:pt>
                <c:pt idx="7">
                  <c:v>3.93</c:v>
                </c:pt>
                <c:pt idx="8">
                  <c:v>4.5</c:v>
                </c:pt>
              </c:numCache>
            </c:numRef>
          </c:xVal>
          <c:yVal>
            <c:numRef>
              <c:f>Configuration!$G$203:$G$211</c:f>
              <c:numCache>
                <c:formatCode>0.00</c:formatCode>
                <c:ptCount val="9"/>
                <c:pt idx="0">
                  <c:v>80</c:v>
                </c:pt>
                <c:pt idx="1">
                  <c:v>50</c:v>
                </c:pt>
                <c:pt idx="2">
                  <c:v>30</c:v>
                </c:pt>
                <c:pt idx="3">
                  <c:v>25</c:v>
                </c:pt>
                <c:pt idx="4">
                  <c:v>20</c:v>
                </c:pt>
                <c:pt idx="5">
                  <c:v>15</c:v>
                </c:pt>
                <c:pt idx="6">
                  <c:v>0</c:v>
                </c:pt>
                <c:pt idx="7">
                  <c:v>-25</c:v>
                </c:pt>
                <c:pt idx="8">
                  <c:v>-40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614464"/>
        <c:axId val="93616384"/>
      </c:scatterChart>
      <c:valAx>
        <c:axId val="93614464"/>
        <c:scaling>
          <c:orientation val="minMax"/>
        </c:scaling>
        <c:delete val="0"/>
        <c:axPos val="b"/>
        <c:numFmt formatCode="0.00;[Red]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3616384"/>
        <c:crosses val="autoZero"/>
        <c:crossBetween val="midCat"/>
      </c:valAx>
      <c:valAx>
        <c:axId val="936163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36144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5.8823754686560537E-2"/>
          <c:y val="6.4516129032258063E-2"/>
          <c:w val="0.90980740581880293"/>
          <c:h val="0.8258064516129032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Configuration!$F$190</c:f>
              <c:strCache>
                <c:ptCount val="1"/>
                <c:pt idx="0">
                  <c:v>Damping Constant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Configuration!$D$191:$D$195</c:f>
              <c:numCache>
                <c:formatCode>0.0</c:formatCode>
                <c:ptCount val="5"/>
                <c:pt idx="0">
                  <c:v>0</c:v>
                </c:pt>
                <c:pt idx="1">
                  <c:v>0.5</c:v>
                </c:pt>
                <c:pt idx="2">
                  <c:v>2</c:v>
                </c:pt>
                <c:pt idx="3">
                  <c:v>3</c:v>
                </c:pt>
                <c:pt idx="4">
                  <c:v>5</c:v>
                </c:pt>
              </c:numCache>
            </c:numRef>
          </c:xVal>
          <c:yVal>
            <c:numRef>
              <c:f>Configuration!$G$191:$G$195</c:f>
              <c:numCache>
                <c:formatCode>0.00</c:formatCode>
                <c:ptCount val="5"/>
                <c:pt idx="0">
                  <c:v>7</c:v>
                </c:pt>
                <c:pt idx="1">
                  <c:v>7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393280"/>
        <c:axId val="157395200"/>
      </c:scatterChart>
      <c:valAx>
        <c:axId val="157393280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57395200"/>
        <c:crosses val="autoZero"/>
        <c:crossBetween val="midCat"/>
      </c:valAx>
      <c:valAx>
        <c:axId val="157395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573932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823754686560537E-2"/>
          <c:y val="6.4516129032258063E-2"/>
          <c:w val="0.90980740581880293"/>
          <c:h val="0.8258064516129032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Configuration!$D$80:$D$85</c:f>
              <c:numCache>
                <c:formatCode>0.0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Configuration!$G$95:$G$100</c:f>
              <c:numCache>
                <c:formatCode>0.00</c:formatCode>
                <c:ptCount val="6"/>
                <c:pt idx="0">
                  <c:v>-7</c:v>
                </c:pt>
                <c:pt idx="1">
                  <c:v>-7</c:v>
                </c:pt>
                <c:pt idx="2">
                  <c:v>-7</c:v>
                </c:pt>
                <c:pt idx="3">
                  <c:v>-7</c:v>
                </c:pt>
                <c:pt idx="4">
                  <c:v>-7</c:v>
                </c:pt>
                <c:pt idx="5">
                  <c:v>-7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440640"/>
        <c:axId val="157467776"/>
      </c:scatterChart>
      <c:valAx>
        <c:axId val="157440640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57467776"/>
        <c:crosses val="autoZero"/>
        <c:crossBetween val="midCat"/>
      </c:valAx>
      <c:valAx>
        <c:axId val="1574677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574406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823754686560537E-2"/>
          <c:y val="6.4516129032258063E-2"/>
          <c:w val="0.90980740581880293"/>
          <c:h val="0.8258064516129032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Configuration!$D$80:$D$85</c:f>
              <c:numCache>
                <c:formatCode>0.0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Configuration!$G$110:$G$115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114944"/>
        <c:axId val="159500544"/>
      </c:scatterChart>
      <c:valAx>
        <c:axId val="116114944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59500544"/>
        <c:crosses val="autoZero"/>
        <c:crossBetween val="midCat"/>
      </c:valAx>
      <c:valAx>
        <c:axId val="1595005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161149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823754686560537E-2"/>
          <c:y val="6.4516129032258063E-2"/>
          <c:w val="0.90980740581880293"/>
          <c:h val="0.8258064516129032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Configuration!$D$80:$D$85</c:f>
              <c:numCache>
                <c:formatCode>0.0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Configuration!$G$125:$G$130</c:f>
              <c:numCache>
                <c:formatCode>0.00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49312"/>
        <c:axId val="159564928"/>
      </c:scatterChart>
      <c:valAx>
        <c:axId val="159549312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59564928"/>
        <c:crosses val="autoZero"/>
        <c:crossBetween val="midCat"/>
      </c:valAx>
      <c:valAx>
        <c:axId val="1595649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595493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823754686560537E-2"/>
          <c:y val="6.4516129032258063E-2"/>
          <c:w val="0.90980740581880293"/>
          <c:h val="0.8258064516129032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Configuration!$D$171:$D$177</c:f>
              <c:numCache>
                <c:formatCode>0.0</c:formatCode>
                <c:ptCount val="7"/>
                <c:pt idx="0">
                  <c:v>-20</c:v>
                </c:pt>
                <c:pt idx="1">
                  <c:v>-10</c:v>
                </c:pt>
                <c:pt idx="2">
                  <c:v>0</c:v>
                </c:pt>
                <c:pt idx="3">
                  <c:v>10</c:v>
                </c:pt>
                <c:pt idx="4">
                  <c:v>20</c:v>
                </c:pt>
                <c:pt idx="5">
                  <c:v>30</c:v>
                </c:pt>
                <c:pt idx="6">
                  <c:v>40</c:v>
                </c:pt>
              </c:numCache>
            </c:numRef>
          </c:xVal>
          <c:yVal>
            <c:numRef>
              <c:f>Configuration!$G$171:$G$177</c:f>
              <c:numCache>
                <c:formatCode>0.00</c:formatCode>
                <c:ptCount val="7"/>
                <c:pt idx="0">
                  <c:v>25.6</c:v>
                </c:pt>
                <c:pt idx="1">
                  <c:v>43.4</c:v>
                </c:pt>
                <c:pt idx="2">
                  <c:v>58.8</c:v>
                </c:pt>
                <c:pt idx="3">
                  <c:v>80.8</c:v>
                </c:pt>
                <c:pt idx="4">
                  <c:v>68.5</c:v>
                </c:pt>
                <c:pt idx="5">
                  <c:v>55.3</c:v>
                </c:pt>
                <c:pt idx="6">
                  <c:v>33.9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847168"/>
        <c:axId val="159849472"/>
      </c:scatterChart>
      <c:valAx>
        <c:axId val="159847168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59849472"/>
        <c:crosses val="autoZero"/>
        <c:crossBetween val="midCat"/>
      </c:valAx>
      <c:valAx>
        <c:axId val="1598494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598471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croll" dx="15" fmlaLink="#REF!" horiz="1" max="255" page="10" val="0"/>
</file>

<file path=xl/ctrlProps/ctrlProp4.xml><?xml version="1.0" encoding="utf-8"?>
<formControlPr xmlns="http://schemas.microsoft.com/office/spreadsheetml/2009/9/main" objectType="Scroll" dx="15" fmlaLink="#REF!" horiz="1" max="255" page="10" val="0"/>
</file>

<file path=xl/ctrlProps/ctrlProp5.xml><?xml version="1.0" encoding="utf-8"?>
<formControlPr xmlns="http://schemas.microsoft.com/office/spreadsheetml/2009/9/main" objectType="Scroll" dx="15" fmlaLink="#REF!" horiz="1" max="255" page="10" val="0"/>
</file>

<file path=xl/ctrlProps/ctrlProp6.xml><?xml version="1.0" encoding="utf-8"?>
<formControlPr xmlns="http://schemas.microsoft.com/office/spreadsheetml/2009/9/main" objectType="Scroll" dx="15" fmlaLink="#REF!" horiz="1" max="255" page="10" val="0"/>
</file>

<file path=xl/ctrlProps/ctrlProp7.xml><?xml version="1.0" encoding="utf-8"?>
<formControlPr xmlns="http://schemas.microsoft.com/office/spreadsheetml/2009/9/main" objectType="Scroll" dx="15" fmlaLink="#REF!" horiz="1" max="255" page="10" val="0"/>
</file>

<file path=xl/ctrlProps/ctrlProp8.xml><?xml version="1.0" encoding="utf-8"?>
<formControlPr xmlns="http://schemas.microsoft.com/office/spreadsheetml/2009/9/main" objectType="Scroll" dx="15" fmlaLink="#REF!" horiz="1" max="255" page="10" val="0"/>
</file>

<file path=xl/ctrlProps/ctrlProp9.xml><?xml version="1.0" encoding="utf-8"?>
<formControlPr xmlns="http://schemas.microsoft.com/office/spreadsheetml/2009/9/main" objectType="Scroll" dx="15" fmlaLink="#REF!" horiz="1" max="255" page="10" val="0"/>
</file>

<file path=xl/ctrlProps/ctrlProp10.xml><?xml version="1.0" encoding="utf-8"?>
<formControlPr xmlns="http://schemas.microsoft.com/office/spreadsheetml/2009/9/main" objectType="Scroll" dx="15" fmlaLink="#REF!" horiz="1" max="255" page="10" val="0"/>
</file>

<file path=xl/ctrlProps/ctrlProp11.xml><?xml version="1.0" encoding="utf-8"?>
<formControlPr xmlns="http://schemas.microsoft.com/office/spreadsheetml/2009/9/main" objectType="Scroll" dx="15" fmlaLink="#REF!" horiz="1" max="255" page="10" val="0"/>
</file>

<file path=xl/ctrlProps/ctrlProp12.xml><?xml version="1.0" encoding="utf-8"?>
<formControlPr xmlns="http://schemas.microsoft.com/office/spreadsheetml/2009/9/main" objectType="Scroll" dx="15" fmlaLink="#REF!" horiz="1" max="255" page="10" val="0"/>
</file>

<file path=xl/ctrlProps/ctrlProp13.xml><?xml version="1.0" encoding="utf-8"?>
<formControlPr xmlns="http://schemas.microsoft.com/office/spreadsheetml/2009/9/main" objectType="Scroll" dx="15" fmlaLink="#REF!" horiz="1" max="255" page="10" val="0"/>
</file>

<file path=xl/ctrlProps/ctrlProp14.xml><?xml version="1.0" encoding="utf-8"?>
<formControlPr xmlns="http://schemas.microsoft.com/office/spreadsheetml/2009/9/main" objectType="Scroll" dx="15" fmlaLink="#REF!" horiz="1" max="255" page="10" val="0"/>
</file>

<file path=xl/ctrlProps/ctrlProp15.xml><?xml version="1.0" encoding="utf-8"?>
<formControlPr xmlns="http://schemas.microsoft.com/office/spreadsheetml/2009/9/main" objectType="Scroll" dx="15" fmlaLink="#REF!" horiz="1" max="255" page="10" val="0"/>
</file>

<file path=xl/ctrlProps/ctrlProp16.xml><?xml version="1.0" encoding="utf-8"?>
<formControlPr xmlns="http://schemas.microsoft.com/office/spreadsheetml/2009/9/main" objectType="Scroll" dx="15" fmlaLink="#REF!" horiz="1" max="255" page="10" val="0"/>
</file>

<file path=xl/ctrlProps/ctrlProp17.xml><?xml version="1.0" encoding="utf-8"?>
<formControlPr xmlns="http://schemas.microsoft.com/office/spreadsheetml/2009/9/main" objectType="Scroll" dx="15" fmlaLink="#REF!" horiz="1" max="255" page="10" val="0"/>
</file>

<file path=xl/ctrlProps/ctrlProp18.xml><?xml version="1.0" encoding="utf-8"?>
<formControlPr xmlns="http://schemas.microsoft.com/office/spreadsheetml/2009/9/main" objectType="Scroll" dx="15" fmlaLink="#REF!" horiz="1" max="255" page="10" val="0"/>
</file>

<file path=xl/ctrlProps/ctrlProp19.xml><?xml version="1.0" encoding="utf-8"?>
<formControlPr xmlns="http://schemas.microsoft.com/office/spreadsheetml/2009/9/main" objectType="Scroll" dx="15" fmlaLink="#REF!" horiz="1" max="255" page="10" val="0"/>
</file>

<file path=xl/ctrlProps/ctrlProp20.xml><?xml version="1.0" encoding="utf-8"?>
<formControlPr xmlns="http://schemas.microsoft.com/office/spreadsheetml/2009/9/main" objectType="Scroll" dx="15" fmlaLink="#REF!" horiz="1" max="255" page="10" val="0"/>
</file>

<file path=xl/ctrlProps/ctrlProp21.xml><?xml version="1.0" encoding="utf-8"?>
<formControlPr xmlns="http://schemas.microsoft.com/office/spreadsheetml/2009/9/main" objectType="Scroll" dx="15" fmlaLink="#REF!" horiz="1" max="255" page="10" val="0"/>
</file>

<file path=xl/ctrlProps/ctrlProp22.xml><?xml version="1.0" encoding="utf-8"?>
<formControlPr xmlns="http://schemas.microsoft.com/office/spreadsheetml/2009/9/main" objectType="Scroll" dx="15" fmlaLink="#REF!" horiz="1" max="255" page="10" val="0"/>
</file>

<file path=xl/ctrlProps/ctrlProp23.xml><?xml version="1.0" encoding="utf-8"?>
<formControlPr xmlns="http://schemas.microsoft.com/office/spreadsheetml/2009/9/main" objectType="Drop" dropLines="30" dropStyle="combo" dx="16" fmlaLink="$L$9" fmlaRange="$M$9:$M$36" sel="12" val="0"/>
</file>

<file path=xl/ctrlProps/ctrlProp24.xml><?xml version="1.0" encoding="utf-8"?>
<formControlPr xmlns="http://schemas.microsoft.com/office/spreadsheetml/2009/9/main" objectType="Scroll" dx="15" fmlaLink="$S$44" horiz="1" max="30000" page="10" val="650"/>
</file>

<file path=xl/ctrlProps/ctrlProp25.xml><?xml version="1.0" encoding="utf-8"?>
<formControlPr xmlns="http://schemas.microsoft.com/office/spreadsheetml/2009/9/main" objectType="Scroll" dx="15" fmlaLink="$S$45" horiz="1" max="30000" page="10" val="200"/>
</file>

<file path=xl/ctrlProps/ctrlProp26.xml><?xml version="1.0" encoding="utf-8"?>
<formControlPr xmlns="http://schemas.microsoft.com/office/spreadsheetml/2009/9/main" objectType="Scroll" dx="15" fmlaLink="$S$46" horiz="1" max="30000" page="10" val="16"/>
</file>

<file path=xl/ctrlProps/ctrlProp27.xml><?xml version="1.0" encoding="utf-8"?>
<formControlPr xmlns="http://schemas.microsoft.com/office/spreadsheetml/2009/9/main" objectType="Scroll" dx="15" fmlaLink="$S$47" horiz="1" max="30000" page="10" val="1000"/>
</file>

<file path=xl/ctrlProps/ctrlProp28.xml><?xml version="1.0" encoding="utf-8"?>
<formControlPr xmlns="http://schemas.microsoft.com/office/spreadsheetml/2009/9/main" objectType="Scroll" dx="15" fmlaLink="$S$48" horiz="1" max="30000" page="10" val="0"/>
</file>

<file path=xl/ctrlProps/ctrlProp29.xml><?xml version="1.0" encoding="utf-8"?>
<formControlPr xmlns="http://schemas.microsoft.com/office/spreadsheetml/2009/9/main" objectType="Scroll" dx="15" fmlaLink="$S$49" horiz="1" max="30000" page="10"/>
</file>

<file path=xl/ctrlProps/ctrlProp30.xml><?xml version="1.0" encoding="utf-8"?>
<formControlPr xmlns="http://schemas.microsoft.com/office/spreadsheetml/2009/9/main" objectType="Scroll" dx="15" fmlaLink="$S$50" horiz="1" max="30000" page="10" val="2"/>
</file>

<file path=xl/ctrlProps/ctrlProp31.xml><?xml version="1.0" encoding="utf-8"?>
<formControlPr xmlns="http://schemas.microsoft.com/office/spreadsheetml/2009/9/main" objectType="Scroll" dx="15" fmlaLink="$R$80" horiz="1" max="1200" page="10" val="0"/>
</file>

<file path=xl/ctrlProps/ctrlProp32.xml><?xml version="1.0" encoding="utf-8"?>
<formControlPr xmlns="http://schemas.microsoft.com/office/spreadsheetml/2009/9/main" objectType="Scroll" dx="15" fmlaLink="$R$81" horiz="1" max="1200" page="10"/>
</file>

<file path=xl/ctrlProps/ctrlProp33.xml><?xml version="1.0" encoding="utf-8"?>
<formControlPr xmlns="http://schemas.microsoft.com/office/spreadsheetml/2009/9/main" objectType="Scroll" dx="15" fmlaLink="$R$82" horiz="1" max="1200" page="10" val="2"/>
</file>

<file path=xl/ctrlProps/ctrlProp34.xml><?xml version="1.0" encoding="utf-8"?>
<formControlPr xmlns="http://schemas.microsoft.com/office/spreadsheetml/2009/9/main" objectType="Scroll" dx="15" fmlaLink="$R$83" horiz="1" max="1200" page="10" val="3"/>
</file>

<file path=xl/ctrlProps/ctrlProp35.xml><?xml version="1.0" encoding="utf-8"?>
<formControlPr xmlns="http://schemas.microsoft.com/office/spreadsheetml/2009/9/main" objectType="Scroll" dx="15" fmlaLink="$R$84" horiz="1" max="1200" page="10" val="4"/>
</file>

<file path=xl/ctrlProps/ctrlProp36.xml><?xml version="1.0" encoding="utf-8"?>
<formControlPr xmlns="http://schemas.microsoft.com/office/spreadsheetml/2009/9/main" objectType="Scroll" dx="15" fmlaLink="$R$85" horiz="1" max="1200" page="10" val="5"/>
</file>

<file path=xl/ctrlProps/ctrlProp37.xml><?xml version="1.0" encoding="utf-8"?>
<formControlPr xmlns="http://schemas.microsoft.com/office/spreadsheetml/2009/9/main" objectType="Scroll" dx="15" fmlaLink="$S$80" horiz="1" max="2500" page="10" val="540"/>
</file>

<file path=xl/ctrlProps/ctrlProp38.xml><?xml version="1.0" encoding="utf-8"?>
<formControlPr xmlns="http://schemas.microsoft.com/office/spreadsheetml/2009/9/main" objectType="Scroll" dx="15" fmlaLink="$S$81" horiz="1" max="2500" page="10" val="540"/>
</file>

<file path=xl/ctrlProps/ctrlProp39.xml><?xml version="1.0" encoding="utf-8"?>
<formControlPr xmlns="http://schemas.microsoft.com/office/spreadsheetml/2009/9/main" objectType="Scroll" dx="15" fmlaLink="$S$82" horiz="1" max="2500" page="10" val="540"/>
</file>

<file path=xl/ctrlProps/ctrlProp40.xml><?xml version="1.0" encoding="utf-8"?>
<formControlPr xmlns="http://schemas.microsoft.com/office/spreadsheetml/2009/9/main" objectType="Scroll" dx="15" fmlaLink="$S$83" horiz="1" max="2500" page="10" val="540"/>
</file>

<file path=xl/ctrlProps/ctrlProp41.xml><?xml version="1.0" encoding="utf-8"?>
<formControlPr xmlns="http://schemas.microsoft.com/office/spreadsheetml/2009/9/main" objectType="Scroll" dx="15" fmlaLink="$S$84" horiz="1" max="2500" page="10" val="540"/>
</file>

<file path=xl/ctrlProps/ctrlProp42.xml><?xml version="1.0" encoding="utf-8"?>
<formControlPr xmlns="http://schemas.microsoft.com/office/spreadsheetml/2009/9/main" objectType="Scroll" dx="15" fmlaLink="$S$85" horiz="1" max="2500" page="10" val="540"/>
</file>

<file path=xl/ctrlProps/ctrlProp43.xml><?xml version="1.0" encoding="utf-8"?>
<formControlPr xmlns="http://schemas.microsoft.com/office/spreadsheetml/2009/9/main" objectType="Scroll" dx="15" fmlaLink="$R$151" horiz="1" max="1200" page="10" val="200"/>
</file>

<file path=xl/ctrlProps/ctrlProp44.xml><?xml version="1.0" encoding="utf-8"?>
<formControlPr xmlns="http://schemas.microsoft.com/office/spreadsheetml/2009/9/main" objectType="Scroll" dx="15" fmlaLink="$R$152" horiz="1" max="1200" page="10" val="300"/>
</file>

<file path=xl/ctrlProps/ctrlProp45.xml><?xml version="1.0" encoding="utf-8"?>
<formControlPr xmlns="http://schemas.microsoft.com/office/spreadsheetml/2009/9/main" objectType="Scroll" dx="15" fmlaLink="$R$153" horiz="1" max="1200" page="10" val="400"/>
</file>

<file path=xl/ctrlProps/ctrlProp46.xml><?xml version="1.0" encoding="utf-8"?>
<formControlPr xmlns="http://schemas.microsoft.com/office/spreadsheetml/2009/9/main" objectType="Scroll" dx="15" fmlaLink="$R$154" horiz="1" max="1200" page="10" val="500"/>
</file>

<file path=xl/ctrlProps/ctrlProp47.xml><?xml version="1.0" encoding="utf-8"?>
<formControlPr xmlns="http://schemas.microsoft.com/office/spreadsheetml/2009/9/main" objectType="Scroll" dx="15" fmlaLink="$R$155" horiz="1" max="1200" page="10" val="600"/>
</file>

<file path=xl/ctrlProps/ctrlProp48.xml><?xml version="1.0" encoding="utf-8"?>
<formControlPr xmlns="http://schemas.microsoft.com/office/spreadsheetml/2009/9/main" objectType="Scroll" dx="15" fmlaLink="$R$156" horiz="1" max="1200" page="10" val="700"/>
</file>

<file path=xl/ctrlProps/ctrlProp49.xml><?xml version="1.0" encoding="utf-8"?>
<formControlPr xmlns="http://schemas.microsoft.com/office/spreadsheetml/2009/9/main" objectType="Scroll" dx="15" fmlaLink="$R$157" horiz="1" max="1200" page="10" val="800"/>
</file>

<file path=xl/ctrlProps/ctrlProp50.xml><?xml version="1.0" encoding="utf-8"?>
<formControlPr xmlns="http://schemas.microsoft.com/office/spreadsheetml/2009/9/main" objectType="Scroll" dx="15" fmlaLink="$S$151" horiz="1" max="2500" page="10" val="100"/>
</file>

<file path=xl/ctrlProps/ctrlProp51.xml><?xml version="1.0" encoding="utf-8"?>
<formControlPr xmlns="http://schemas.microsoft.com/office/spreadsheetml/2009/9/main" objectType="Scroll" dx="15" fmlaLink="$S$152" horiz="1" max="2500" page="10" val="100"/>
</file>

<file path=xl/ctrlProps/ctrlProp52.xml><?xml version="1.0" encoding="utf-8"?>
<formControlPr xmlns="http://schemas.microsoft.com/office/spreadsheetml/2009/9/main" objectType="Scroll" dx="15" fmlaLink="$S$153" horiz="1" max="2500" page="10" val="100"/>
</file>

<file path=xl/ctrlProps/ctrlProp53.xml><?xml version="1.0" encoding="utf-8"?>
<formControlPr xmlns="http://schemas.microsoft.com/office/spreadsheetml/2009/9/main" objectType="Scroll" dx="15" fmlaLink="$S$154" horiz="1" max="2500" page="10" val="100"/>
</file>

<file path=xl/ctrlProps/ctrlProp54.xml><?xml version="1.0" encoding="utf-8"?>
<formControlPr xmlns="http://schemas.microsoft.com/office/spreadsheetml/2009/9/main" objectType="Scroll" dx="15" fmlaLink="$S$155" horiz="1" max="2500" page="10" val="100"/>
</file>

<file path=xl/ctrlProps/ctrlProp55.xml><?xml version="1.0" encoding="utf-8"?>
<formControlPr xmlns="http://schemas.microsoft.com/office/spreadsheetml/2009/9/main" objectType="Scroll" dx="15" fmlaLink="$S$156" horiz="1" max="2500" page="10" val="100"/>
</file>

<file path=xl/ctrlProps/ctrlProp56.xml><?xml version="1.0" encoding="utf-8"?>
<formControlPr xmlns="http://schemas.microsoft.com/office/spreadsheetml/2009/9/main" objectType="Scroll" dx="15" fmlaLink="$S$157" horiz="1" max="2500" page="10" val="100"/>
</file>

<file path=xl/ctrlProps/ctrlProp57.xml><?xml version="1.0" encoding="utf-8"?>
<formControlPr xmlns="http://schemas.microsoft.com/office/spreadsheetml/2009/9/main" objectType="Scroll" dx="15" fmlaLink="$R$141" horiz="1" max="1200" page="10" val="250"/>
</file>

<file path=xl/ctrlProps/ctrlProp58.xml><?xml version="1.0" encoding="utf-8"?>
<formControlPr xmlns="http://schemas.microsoft.com/office/spreadsheetml/2009/9/main" objectType="Scroll" dx="15" fmlaLink="$R$142" horiz="1" max="1200" page="10" val="450"/>
</file>

<file path=xl/ctrlProps/ctrlProp59.xml><?xml version="1.0" encoding="utf-8"?>
<formControlPr xmlns="http://schemas.microsoft.com/office/spreadsheetml/2009/9/main" objectType="Scroll" dx="15" fmlaLink="$R$143" horiz="1" max="1200" page="10" val="650"/>
</file>

<file path=xl/ctrlProps/ctrlProp60.xml><?xml version="1.0" encoding="utf-8"?>
<formControlPr xmlns="http://schemas.microsoft.com/office/spreadsheetml/2009/9/main" objectType="Scroll" dx="15" fmlaLink="$S$203" horiz="1" max="1600" page="10" val="1200"/>
</file>

<file path=xl/ctrlProps/ctrlProp61.xml><?xml version="1.0" encoding="utf-8"?>
<formControlPr xmlns="http://schemas.microsoft.com/office/spreadsheetml/2009/9/main" objectType="Scroll" dx="15" fmlaLink="$S$204" horiz="1" max="1600" page="10" val="900"/>
</file>

<file path=xl/ctrlProps/ctrlProp62.xml><?xml version="1.0" encoding="utf-8"?>
<formControlPr xmlns="http://schemas.microsoft.com/office/spreadsheetml/2009/9/main" objectType="Scroll" dx="15" fmlaLink="$S$205" horiz="1" max="1600" page="10" val="700"/>
</file>

<file path=xl/ctrlProps/ctrlProp63.xml><?xml version="1.0" encoding="utf-8"?>
<formControlPr xmlns="http://schemas.microsoft.com/office/spreadsheetml/2009/9/main" objectType="Scroll" dx="15" fmlaLink="$S$206" horiz="1" max="1600" page="10" val="650"/>
</file>

<file path=xl/ctrlProps/ctrlProp64.xml><?xml version="1.0" encoding="utf-8"?>
<formControlPr xmlns="http://schemas.microsoft.com/office/spreadsheetml/2009/9/main" objectType="Scroll" dx="15" fmlaLink="$S$207" horiz="1" max="1600" page="10" val="600"/>
</file>

<file path=xl/ctrlProps/ctrlProp65.xml><?xml version="1.0" encoding="utf-8"?>
<formControlPr xmlns="http://schemas.microsoft.com/office/spreadsheetml/2009/9/main" objectType="Scroll" dx="15" fmlaLink="$S$208" horiz="1" max="1600" page="10" val="550"/>
</file>

<file path=xl/ctrlProps/ctrlProp66.xml><?xml version="1.0" encoding="utf-8"?>
<formControlPr xmlns="http://schemas.microsoft.com/office/spreadsheetml/2009/9/main" objectType="Scroll" dx="15" fmlaLink="$S$209" horiz="1" max="1600" page="10" val="400"/>
</file>

<file path=xl/ctrlProps/ctrlProp67.xml><?xml version="1.0" encoding="utf-8"?>
<formControlPr xmlns="http://schemas.microsoft.com/office/spreadsheetml/2009/9/main" objectType="Scroll" dx="15" fmlaLink="$S$210" horiz="1" max="1600" page="10" val="150"/>
</file>

<file path=xl/ctrlProps/ctrlProp68.xml><?xml version="1.0" encoding="utf-8"?>
<formControlPr xmlns="http://schemas.microsoft.com/office/spreadsheetml/2009/9/main" objectType="Scroll" dx="15" fmlaLink="$S$211" horiz="1" max="1600" page="10" val="0"/>
</file>

<file path=xl/ctrlProps/ctrlProp69.xml><?xml version="1.0" encoding="utf-8"?>
<formControlPr xmlns="http://schemas.microsoft.com/office/spreadsheetml/2009/9/main" objectType="Scroll" dx="15" fmlaLink="$R$191" horiz="1" max="1200" page="10" val="0"/>
</file>

<file path=xl/ctrlProps/ctrlProp70.xml><?xml version="1.0" encoding="utf-8"?>
<formControlPr xmlns="http://schemas.microsoft.com/office/spreadsheetml/2009/9/main" objectType="Scroll" dx="15" fmlaLink="$R$192" horiz="1" max="1200" page="10" val="5"/>
</file>

<file path=xl/ctrlProps/ctrlProp71.xml><?xml version="1.0" encoding="utf-8"?>
<formControlPr xmlns="http://schemas.microsoft.com/office/spreadsheetml/2009/9/main" objectType="Scroll" dx="15" fmlaLink="$R$193" horiz="1" max="1200" page="10" val="20"/>
</file>

<file path=xl/ctrlProps/ctrlProp72.xml><?xml version="1.0" encoding="utf-8"?>
<formControlPr xmlns="http://schemas.microsoft.com/office/spreadsheetml/2009/9/main" objectType="Scroll" dx="15" fmlaLink="$R$194" horiz="1" max="1200" page="10" val="30"/>
</file>

<file path=xl/ctrlProps/ctrlProp73.xml><?xml version="1.0" encoding="utf-8"?>
<formControlPr xmlns="http://schemas.microsoft.com/office/spreadsheetml/2009/9/main" objectType="Scroll" dx="15" fmlaLink="$R$195" horiz="1" max="1200" page="10" val="50"/>
</file>

<file path=xl/ctrlProps/ctrlProp74.xml><?xml version="1.0" encoding="utf-8"?>
<formControlPr xmlns="http://schemas.microsoft.com/office/spreadsheetml/2009/9/main" objectType="Scroll" dx="15" fmlaLink="$S$191" horiz="1" max="16" page="10" val="7"/>
</file>

<file path=xl/ctrlProps/ctrlProp75.xml><?xml version="1.0" encoding="utf-8"?>
<formControlPr xmlns="http://schemas.microsoft.com/office/spreadsheetml/2009/9/main" objectType="Scroll" dx="15" fmlaLink="$S$192" horiz="1" max="16" page="10" val="7"/>
</file>

<file path=xl/ctrlProps/ctrlProp76.xml><?xml version="1.0" encoding="utf-8"?>
<formControlPr xmlns="http://schemas.microsoft.com/office/spreadsheetml/2009/9/main" objectType="Scroll" dx="15" fmlaLink="$S$193" horiz="1" max="16" page="10" val="4"/>
</file>

<file path=xl/ctrlProps/ctrlProp77.xml><?xml version="1.0" encoding="utf-8"?>
<formControlPr xmlns="http://schemas.microsoft.com/office/spreadsheetml/2009/9/main" objectType="Scroll" dx="15" fmlaLink="$S$194" horiz="1" max="16" page="10" val="2"/>
</file>

<file path=xl/ctrlProps/ctrlProp78.xml><?xml version="1.0" encoding="utf-8"?>
<formControlPr xmlns="http://schemas.microsoft.com/office/spreadsheetml/2009/9/main" objectType="Scroll" dx="15" fmlaLink="$S$195" horiz="1" max="16" page="10"/>
</file>

<file path=xl/ctrlProps/ctrlProp79.xml><?xml version="1.0" encoding="utf-8"?>
<formControlPr xmlns="http://schemas.microsoft.com/office/spreadsheetml/2009/9/main" objectType="Scroll" dx="15" fmlaLink="#REF!" max="255" page="10" val="0"/>
</file>

<file path=xl/ctrlProps/ctrlProp80.xml><?xml version="1.0" encoding="utf-8"?>
<formControlPr xmlns="http://schemas.microsoft.com/office/spreadsheetml/2009/9/main" objectType="Scroll" dx="15" fmlaLink="#REF!" max="255" page="10" val="0"/>
</file>

<file path=xl/ctrlProps/ctrlProp81.xml><?xml version="1.0" encoding="utf-8"?>
<formControlPr xmlns="http://schemas.microsoft.com/office/spreadsheetml/2009/9/main" objectType="Scroll" dx="15" fmlaLink="#REF!" max="255" page="10" val="0"/>
</file>

<file path=xl/ctrlProps/ctrlProp82.xml><?xml version="1.0" encoding="utf-8"?>
<formControlPr xmlns="http://schemas.microsoft.com/office/spreadsheetml/2009/9/main" objectType="Scroll" dx="15" fmlaLink="#REF!" max="255" page="10" val="0"/>
</file>

<file path=xl/ctrlProps/ctrlProp83.xml><?xml version="1.0" encoding="utf-8"?>
<formControlPr xmlns="http://schemas.microsoft.com/office/spreadsheetml/2009/9/main" objectType="Scroll" dx="15" fmlaLink="#REF!" max="255" page="10" val="0"/>
</file>

<file path=xl/ctrlProps/ctrlProp84.xml><?xml version="1.0" encoding="utf-8"?>
<formControlPr xmlns="http://schemas.microsoft.com/office/spreadsheetml/2009/9/main" objectType="Scroll" dx="15" fmlaLink="#REF!" max="255" page="10" val="0"/>
</file>

<file path=xl/ctrlProps/ctrlProp85.xml><?xml version="1.0" encoding="utf-8"?>
<formControlPr xmlns="http://schemas.microsoft.com/office/spreadsheetml/2009/9/main" objectType="Scroll" dx="15" fmlaLink="#REF!" max="255" page="10" val="0"/>
</file>

<file path=xl/ctrlProps/ctrlProp86.xml><?xml version="1.0" encoding="utf-8"?>
<formControlPr xmlns="http://schemas.microsoft.com/office/spreadsheetml/2009/9/main" objectType="Scroll" dx="15" fmlaLink="#REF!" max="255" page="10" val="0"/>
</file>

<file path=xl/ctrlProps/ctrlProp87.xml><?xml version="1.0" encoding="utf-8"?>
<formControlPr xmlns="http://schemas.microsoft.com/office/spreadsheetml/2009/9/main" objectType="Scroll" dx="15" fmlaLink="#REF!" max="255" page="10" val="0"/>
</file>

<file path=xl/ctrlProps/ctrlProp88.xml><?xml version="1.0" encoding="utf-8"?>
<formControlPr xmlns="http://schemas.microsoft.com/office/spreadsheetml/2009/9/main" objectType="Scroll" dx="15" fmlaLink="#REF!" max="255" page="10" val="0"/>
</file>

<file path=xl/ctrlProps/ctrlProp89.xml><?xml version="1.0" encoding="utf-8"?>
<formControlPr xmlns="http://schemas.microsoft.com/office/spreadsheetml/2009/9/main" objectType="Scroll" dx="15" fmlaLink="#REF!" max="255" page="10" val="0"/>
</file>

<file path=xl/ctrlProps/ctrlProp90.xml><?xml version="1.0" encoding="utf-8"?>
<formControlPr xmlns="http://schemas.microsoft.com/office/spreadsheetml/2009/9/main" objectType="Scroll" dx="15" fmlaLink="#REF!" max="255" page="10" val="0"/>
</file>

<file path=xl/ctrlProps/ctrlProp91.xml><?xml version="1.0" encoding="utf-8"?>
<formControlPr xmlns="http://schemas.microsoft.com/office/spreadsheetml/2009/9/main" objectType="Scroll" dx="15" fmlaLink="#REF!" max="255" page="10" val="0"/>
</file>

<file path=xl/ctrlProps/ctrlProp92.xml><?xml version="1.0" encoding="utf-8"?>
<formControlPr xmlns="http://schemas.microsoft.com/office/spreadsheetml/2009/9/main" objectType="Scroll" dx="15" fmlaLink="#REF!" max="255" page="10" val="0"/>
</file>

<file path=xl/ctrlProps/ctrlProp93.xml><?xml version="1.0" encoding="utf-8"?>
<formControlPr xmlns="http://schemas.microsoft.com/office/spreadsheetml/2009/9/main" objectType="Scroll" dx="15" fmlaLink="#REF!" max="255" page="10" val="0"/>
</file>

<file path=xl/ctrlProps/ctrlProp94.xml><?xml version="1.0" encoding="utf-8"?>
<formControlPr xmlns="http://schemas.microsoft.com/office/spreadsheetml/2009/9/main" objectType="Scroll" dx="15" fmlaLink="#REF!" max="255" page="10" val="0"/>
</file>

<file path=xl/ctrlProps/ctrlProp95.xml><?xml version="1.0" encoding="utf-8"?>
<formControlPr xmlns="http://schemas.microsoft.com/office/spreadsheetml/2009/9/main" objectType="Scroll" dx="15" fmlaLink="#REF!" max="255" page="10" val="0"/>
</file>

<file path=xl/ctrlProps/ctrlProp96.xml><?xml version="1.0" encoding="utf-8"?>
<formControlPr xmlns="http://schemas.microsoft.com/office/spreadsheetml/2009/9/main" objectType="Scroll" dx="15" fmlaLink="#REF!" max="255" page="10" val="0"/>
</file>

<file path=xl/ctrlProps/ctrlProp97.xml><?xml version="1.0" encoding="utf-8"?>
<formControlPr xmlns="http://schemas.microsoft.com/office/spreadsheetml/2009/9/main" objectType="Scroll" dx="15" fmlaLink="#REF!" max="255" page="10" val="0"/>
</file>

<file path=xl/ctrlProps/ctrlProp98.xml><?xml version="1.0" encoding="utf-8"?>
<formControlPr xmlns="http://schemas.microsoft.com/office/spreadsheetml/2009/9/main" objectType="Scroll" dx="15" fmlaLink="#REF!" max="255" page="10" val="0"/>
</file>

<file path=xl/ctrlProps/ctrlProp99.xml><?xml version="1.0" encoding="utf-8"?>
<formControlPr xmlns="http://schemas.microsoft.com/office/spreadsheetml/2009/9/main" objectType="Scroll" dx="15" fmlaLink="#REF!" max="255" page="10" val="0"/>
</file>

<file path=xl/ctrlProps/ctrlProp100.xml><?xml version="1.0" encoding="utf-8"?>
<formControlPr xmlns="http://schemas.microsoft.com/office/spreadsheetml/2009/9/main" objectType="Scroll" dx="15" fmlaLink="#REF!" max="255" page="10" val="0"/>
</file>

<file path=xl/ctrlProps/ctrlProp101.xml><?xml version="1.0" encoding="utf-8"?>
<formControlPr xmlns="http://schemas.microsoft.com/office/spreadsheetml/2009/9/main" objectType="Scroll" dx="15" fmlaLink="#REF!" max="255" page="10" val="0"/>
</file>

<file path=xl/ctrlProps/ctrlProp102.xml><?xml version="1.0" encoding="utf-8"?>
<formControlPr xmlns="http://schemas.microsoft.com/office/spreadsheetml/2009/9/main" objectType="Scroll" dx="15" fmlaLink="#REF!" max="255" page="10" val="0"/>
</file>

<file path=xl/ctrlProps/ctrlProp103.xml><?xml version="1.0" encoding="utf-8"?>
<formControlPr xmlns="http://schemas.microsoft.com/office/spreadsheetml/2009/9/main" objectType="Scroll" dx="15" fmlaLink="#REF!" max="255" page="10" val="0"/>
</file>

<file path=xl/ctrlProps/ctrlProp104.xml><?xml version="1.0" encoding="utf-8"?>
<formControlPr xmlns="http://schemas.microsoft.com/office/spreadsheetml/2009/9/main" objectType="Scroll" dx="15" fmlaLink="#REF!" max="255" page="10" val="0"/>
</file>

<file path=xl/ctrlProps/ctrlProp105.xml><?xml version="1.0" encoding="utf-8"?>
<formControlPr xmlns="http://schemas.microsoft.com/office/spreadsheetml/2009/9/main" objectType="Scroll" dx="15" fmlaLink="#REF!" max="255" page="10" val="0"/>
</file>

<file path=xl/ctrlProps/ctrlProp106.xml><?xml version="1.0" encoding="utf-8"?>
<formControlPr xmlns="http://schemas.microsoft.com/office/spreadsheetml/2009/9/main" objectType="Scroll" dx="15" fmlaLink="#REF!" max="255" page="10" val="0"/>
</file>

<file path=xl/ctrlProps/ctrlProp107.xml><?xml version="1.0" encoding="utf-8"?>
<formControlPr xmlns="http://schemas.microsoft.com/office/spreadsheetml/2009/9/main" objectType="Scroll" dx="15" fmlaLink="#REF!" max="255" page="10" val="0"/>
</file>

<file path=xl/ctrlProps/ctrlProp108.xml><?xml version="1.0" encoding="utf-8"?>
<formControlPr xmlns="http://schemas.microsoft.com/office/spreadsheetml/2009/9/main" objectType="Scroll" dx="15" fmlaLink="#REF!" max="255" page="10" val="0"/>
</file>

<file path=xl/ctrlProps/ctrlProp109.xml><?xml version="1.0" encoding="utf-8"?>
<formControlPr xmlns="http://schemas.microsoft.com/office/spreadsheetml/2009/9/main" objectType="Scroll" dx="15" fmlaLink="#REF!" max="255" page="10" val="0"/>
</file>

<file path=xl/ctrlProps/ctrlProp110.xml><?xml version="1.0" encoding="utf-8"?>
<formControlPr xmlns="http://schemas.microsoft.com/office/spreadsheetml/2009/9/main" objectType="Scroll" dx="15" fmlaLink="#REF!" max="255" page="10" val="0"/>
</file>

<file path=xl/ctrlProps/ctrlProp111.xml><?xml version="1.0" encoding="utf-8"?>
<formControlPr xmlns="http://schemas.microsoft.com/office/spreadsheetml/2009/9/main" objectType="Scroll" dx="15" fmlaLink="#REF!" max="255" page="10" val="0"/>
</file>

<file path=xl/ctrlProps/ctrlProp112.xml><?xml version="1.0" encoding="utf-8"?>
<formControlPr xmlns="http://schemas.microsoft.com/office/spreadsheetml/2009/9/main" objectType="Scroll" dx="15" fmlaLink="#REF!" max="255" page="10" val="0"/>
</file>

<file path=xl/ctrlProps/ctrlProp113.xml><?xml version="1.0" encoding="utf-8"?>
<formControlPr xmlns="http://schemas.microsoft.com/office/spreadsheetml/2009/9/main" objectType="Scroll" dx="15" fmlaLink="#REF!" max="255" page="10" val="0"/>
</file>

<file path=xl/ctrlProps/ctrlProp114.xml><?xml version="1.0" encoding="utf-8"?>
<formControlPr xmlns="http://schemas.microsoft.com/office/spreadsheetml/2009/9/main" objectType="Scroll" dx="15" fmlaLink="#REF!" max="255" page="10" val="0"/>
</file>

<file path=xl/ctrlProps/ctrlProp115.xml><?xml version="1.0" encoding="utf-8"?>
<formControlPr xmlns="http://schemas.microsoft.com/office/spreadsheetml/2009/9/main" objectType="Scroll" dx="15" fmlaLink="#REF!" max="255" page="10" val="0"/>
</file>

<file path=xl/ctrlProps/ctrlProp116.xml><?xml version="1.0" encoding="utf-8"?>
<formControlPr xmlns="http://schemas.microsoft.com/office/spreadsheetml/2009/9/main" objectType="Scroll" dx="15" fmlaLink="#REF!" max="255" page="10" val="0"/>
</file>

<file path=xl/ctrlProps/ctrlProp117.xml><?xml version="1.0" encoding="utf-8"?>
<formControlPr xmlns="http://schemas.microsoft.com/office/spreadsheetml/2009/9/main" objectType="Scroll" dx="15" fmlaLink="#REF!" max="255" page="10" val="0"/>
</file>

<file path=xl/ctrlProps/ctrlProp118.xml><?xml version="1.0" encoding="utf-8"?>
<formControlPr xmlns="http://schemas.microsoft.com/office/spreadsheetml/2009/9/main" objectType="Scroll" dx="15" fmlaLink="#REF!" max="255" page="10" val="0"/>
</file>

<file path=xl/ctrlProps/ctrlProp119.xml><?xml version="1.0" encoding="utf-8"?>
<formControlPr xmlns="http://schemas.microsoft.com/office/spreadsheetml/2009/9/main" objectType="Scroll" dx="15" fmlaLink="#REF!" max="255" page="10" val="0"/>
</file>

<file path=xl/ctrlProps/ctrlProp120.xml><?xml version="1.0" encoding="utf-8"?>
<formControlPr xmlns="http://schemas.microsoft.com/office/spreadsheetml/2009/9/main" objectType="Scroll" dx="15" fmlaLink="#REF!" max="255" page="10" val="0"/>
</file>

<file path=xl/ctrlProps/ctrlProp121.xml><?xml version="1.0" encoding="utf-8"?>
<formControlPr xmlns="http://schemas.microsoft.com/office/spreadsheetml/2009/9/main" objectType="Scroll" dx="15" fmlaLink="#REF!" max="255" page="10" val="0"/>
</file>

<file path=xl/ctrlProps/ctrlProp122.xml><?xml version="1.0" encoding="utf-8"?>
<formControlPr xmlns="http://schemas.microsoft.com/office/spreadsheetml/2009/9/main" objectType="Scroll" dx="15" fmlaLink="#REF!" max="255" page="10" val="0"/>
</file>

<file path=xl/ctrlProps/ctrlProp123.xml><?xml version="1.0" encoding="utf-8"?>
<formControlPr xmlns="http://schemas.microsoft.com/office/spreadsheetml/2009/9/main" objectType="Scroll" dx="15" fmlaLink="#REF!" max="255" page="10" val="0"/>
</file>

<file path=xl/ctrlProps/ctrlProp124.xml><?xml version="1.0" encoding="utf-8"?>
<formControlPr xmlns="http://schemas.microsoft.com/office/spreadsheetml/2009/9/main" objectType="Scroll" dx="15" fmlaLink="#REF!" max="255" page="10" val="0"/>
</file>

<file path=xl/ctrlProps/ctrlProp125.xml><?xml version="1.0" encoding="utf-8"?>
<formControlPr xmlns="http://schemas.microsoft.com/office/spreadsheetml/2009/9/main" objectType="Scroll" dx="15" fmlaLink="#REF!" max="255" page="10" val="0"/>
</file>

<file path=xl/ctrlProps/ctrlProp126.xml><?xml version="1.0" encoding="utf-8"?>
<formControlPr xmlns="http://schemas.microsoft.com/office/spreadsheetml/2009/9/main" objectType="Scroll" dx="15" fmlaLink="#REF!" max="255" page="10" val="0"/>
</file>

<file path=xl/ctrlProps/ctrlProp127.xml><?xml version="1.0" encoding="utf-8"?>
<formControlPr xmlns="http://schemas.microsoft.com/office/spreadsheetml/2009/9/main" objectType="Scroll" dx="15" fmlaLink="#REF!" max="255" page="10" val="0"/>
</file>

<file path=xl/ctrlProps/ctrlProp128.xml><?xml version="1.0" encoding="utf-8"?>
<formControlPr xmlns="http://schemas.microsoft.com/office/spreadsheetml/2009/9/main" objectType="Scroll" dx="15" fmlaLink="#REF!" max="255" page="10" val="0"/>
</file>

<file path=xl/ctrlProps/ctrlProp129.xml><?xml version="1.0" encoding="utf-8"?>
<formControlPr xmlns="http://schemas.microsoft.com/office/spreadsheetml/2009/9/main" objectType="Scroll" dx="15" fmlaLink="#REF!" max="255" page="10" val="0"/>
</file>

<file path=xl/ctrlProps/ctrlProp130.xml><?xml version="1.0" encoding="utf-8"?>
<formControlPr xmlns="http://schemas.microsoft.com/office/spreadsheetml/2009/9/main" objectType="Scroll" dx="15" fmlaLink="#REF!" max="255" page="10" val="0"/>
</file>

<file path=xl/ctrlProps/ctrlProp131.xml><?xml version="1.0" encoding="utf-8"?>
<formControlPr xmlns="http://schemas.microsoft.com/office/spreadsheetml/2009/9/main" objectType="Scroll" dx="15" fmlaLink="#REF!" max="255" page="10" val="0"/>
</file>

<file path=xl/ctrlProps/ctrlProp132.xml><?xml version="1.0" encoding="utf-8"?>
<formControlPr xmlns="http://schemas.microsoft.com/office/spreadsheetml/2009/9/main" objectType="Scroll" dx="15" fmlaLink="#REF!" max="255" page="10" val="0"/>
</file>

<file path=xl/ctrlProps/ctrlProp133.xml><?xml version="1.0" encoding="utf-8"?>
<formControlPr xmlns="http://schemas.microsoft.com/office/spreadsheetml/2009/9/main" objectType="Scroll" dx="15" fmlaLink="#REF!" max="255" page="10" val="0"/>
</file>

<file path=xl/ctrlProps/ctrlProp134.xml><?xml version="1.0" encoding="utf-8"?>
<formControlPr xmlns="http://schemas.microsoft.com/office/spreadsheetml/2009/9/main" objectType="Scroll" dx="15" fmlaLink="#REF!" max="255" page="10" val="0"/>
</file>

<file path=xl/ctrlProps/ctrlProp135.xml><?xml version="1.0" encoding="utf-8"?>
<formControlPr xmlns="http://schemas.microsoft.com/office/spreadsheetml/2009/9/main" objectType="Scroll" dx="15" fmlaLink="#REF!" max="255" page="10" val="0"/>
</file>

<file path=xl/ctrlProps/ctrlProp136.xml><?xml version="1.0" encoding="utf-8"?>
<formControlPr xmlns="http://schemas.microsoft.com/office/spreadsheetml/2009/9/main" objectType="Scroll" dx="15" fmlaLink="#REF!" max="255" page="10" val="0"/>
</file>

<file path=xl/ctrlProps/ctrlProp137.xml><?xml version="1.0" encoding="utf-8"?>
<formControlPr xmlns="http://schemas.microsoft.com/office/spreadsheetml/2009/9/main" objectType="Scroll" dx="15" fmlaLink="#REF!" max="255" page="10" val="0"/>
</file>

<file path=xl/ctrlProps/ctrlProp138.xml><?xml version="1.0" encoding="utf-8"?>
<formControlPr xmlns="http://schemas.microsoft.com/office/spreadsheetml/2009/9/main" objectType="Scroll" dx="15" fmlaLink="#REF!" max="255" page="10" val="0"/>
</file>

<file path=xl/ctrlProps/ctrlProp139.xml><?xml version="1.0" encoding="utf-8"?>
<formControlPr xmlns="http://schemas.microsoft.com/office/spreadsheetml/2009/9/main" objectType="Scroll" dx="15" fmlaLink="#REF!" max="255" page="10" val="0"/>
</file>

<file path=xl/ctrlProps/ctrlProp140.xml><?xml version="1.0" encoding="utf-8"?>
<formControlPr xmlns="http://schemas.microsoft.com/office/spreadsheetml/2009/9/main" objectType="Scroll" dx="15" fmlaLink="#REF!" max="255" page="10" val="0"/>
</file>

<file path=xl/ctrlProps/ctrlProp141.xml><?xml version="1.0" encoding="utf-8"?>
<formControlPr xmlns="http://schemas.microsoft.com/office/spreadsheetml/2009/9/main" objectType="Scroll" dx="15" fmlaLink="#REF!" max="255" page="10" val="0"/>
</file>

<file path=xl/ctrlProps/ctrlProp142.xml><?xml version="1.0" encoding="utf-8"?>
<formControlPr xmlns="http://schemas.microsoft.com/office/spreadsheetml/2009/9/main" objectType="Scroll" dx="15" fmlaLink="#REF!" max="255" page="10" val="0"/>
</file>

<file path=xl/ctrlProps/ctrlProp143.xml><?xml version="1.0" encoding="utf-8"?>
<formControlPr xmlns="http://schemas.microsoft.com/office/spreadsheetml/2009/9/main" objectType="Scroll" dx="15" fmlaLink="#REF!" max="255" page="10" val="0"/>
</file>

<file path=xl/ctrlProps/ctrlProp144.xml><?xml version="1.0" encoding="utf-8"?>
<formControlPr xmlns="http://schemas.microsoft.com/office/spreadsheetml/2009/9/main" objectType="Scroll" dx="15" fmlaLink="#REF!" max="255" page="10" val="0"/>
</file>

<file path=xl/ctrlProps/ctrlProp145.xml><?xml version="1.0" encoding="utf-8"?>
<formControlPr xmlns="http://schemas.microsoft.com/office/spreadsheetml/2009/9/main" objectType="Scroll" dx="15" fmlaLink="#REF!" max="255" page="10" val="0"/>
</file>

<file path=xl/ctrlProps/ctrlProp146.xml><?xml version="1.0" encoding="utf-8"?>
<formControlPr xmlns="http://schemas.microsoft.com/office/spreadsheetml/2009/9/main" objectType="Scroll" dx="15" fmlaLink="#REF!" max="255" page="10" val="0"/>
</file>

<file path=xl/ctrlProps/ctrlProp147.xml><?xml version="1.0" encoding="utf-8"?>
<formControlPr xmlns="http://schemas.microsoft.com/office/spreadsheetml/2009/9/main" objectType="Scroll" dx="15" fmlaLink="#REF!" max="255" page="10" val="0"/>
</file>

<file path=xl/ctrlProps/ctrlProp148.xml><?xml version="1.0" encoding="utf-8"?>
<formControlPr xmlns="http://schemas.microsoft.com/office/spreadsheetml/2009/9/main" objectType="Scroll" dx="15" fmlaLink="#REF!" max="255" page="10" val="0"/>
</file>

<file path=xl/ctrlProps/ctrlProp149.xml><?xml version="1.0" encoding="utf-8"?>
<formControlPr xmlns="http://schemas.microsoft.com/office/spreadsheetml/2009/9/main" objectType="Scroll" dx="15" fmlaLink="#REF!" max="255" page="10" val="0"/>
</file>

<file path=xl/ctrlProps/ctrlProp150.xml><?xml version="1.0" encoding="utf-8"?>
<formControlPr xmlns="http://schemas.microsoft.com/office/spreadsheetml/2009/9/main" objectType="Scroll" dx="15" fmlaLink="#REF!" max="255" page="10" val="0"/>
</file>

<file path=xl/ctrlProps/ctrlProp151.xml><?xml version="1.0" encoding="utf-8"?>
<formControlPr xmlns="http://schemas.microsoft.com/office/spreadsheetml/2009/9/main" objectType="Scroll" dx="15" fmlaLink="#REF!" max="255" page="10" val="0"/>
</file>

<file path=xl/ctrlProps/ctrlProp152.xml><?xml version="1.0" encoding="utf-8"?>
<formControlPr xmlns="http://schemas.microsoft.com/office/spreadsheetml/2009/9/main" objectType="Scroll" dx="15" fmlaLink="#REF!" max="255" page="10" val="0"/>
</file>

<file path=xl/ctrlProps/ctrlProp153.xml><?xml version="1.0" encoding="utf-8"?>
<formControlPr xmlns="http://schemas.microsoft.com/office/spreadsheetml/2009/9/main" objectType="Scroll" dx="15" fmlaLink="#REF!" max="255" page="10" val="0"/>
</file>

<file path=xl/ctrlProps/ctrlProp154.xml><?xml version="1.0" encoding="utf-8"?>
<formControlPr xmlns="http://schemas.microsoft.com/office/spreadsheetml/2009/9/main" objectType="Scroll" dx="15" fmlaLink="#REF!" max="255" page="10" val="0"/>
</file>

<file path=xl/ctrlProps/ctrlProp155.xml><?xml version="1.0" encoding="utf-8"?>
<formControlPr xmlns="http://schemas.microsoft.com/office/spreadsheetml/2009/9/main" objectType="Scroll" dx="15" fmlaLink="#REF!" max="255" page="10" val="0"/>
</file>

<file path=xl/ctrlProps/ctrlProp156.xml><?xml version="1.0" encoding="utf-8"?>
<formControlPr xmlns="http://schemas.microsoft.com/office/spreadsheetml/2009/9/main" objectType="Scroll" dx="15" fmlaLink="#REF!" max="255" page="10" val="0"/>
</file>

<file path=xl/ctrlProps/ctrlProp157.xml><?xml version="1.0" encoding="utf-8"?>
<formControlPr xmlns="http://schemas.microsoft.com/office/spreadsheetml/2009/9/main" objectType="Scroll" dx="15" fmlaLink="#REF!" max="255" page="10" val="0"/>
</file>

<file path=xl/ctrlProps/ctrlProp158.xml><?xml version="1.0" encoding="utf-8"?>
<formControlPr xmlns="http://schemas.microsoft.com/office/spreadsheetml/2009/9/main" objectType="Scroll" dx="15" fmlaLink="#REF!" max="255" page="10" val="0"/>
</file>

<file path=xl/ctrlProps/ctrlProp159.xml><?xml version="1.0" encoding="utf-8"?>
<formControlPr xmlns="http://schemas.microsoft.com/office/spreadsheetml/2009/9/main" objectType="Scroll" dx="15" fmlaLink="#REF!" max="255" page="10" val="0"/>
</file>

<file path=xl/ctrlProps/ctrlProp160.xml><?xml version="1.0" encoding="utf-8"?>
<formControlPr xmlns="http://schemas.microsoft.com/office/spreadsheetml/2009/9/main" objectType="Scroll" dx="15" fmlaLink="#REF!" max="255" page="10" val="0"/>
</file>

<file path=xl/ctrlProps/ctrlProp161.xml><?xml version="1.0" encoding="utf-8"?>
<formControlPr xmlns="http://schemas.microsoft.com/office/spreadsheetml/2009/9/main" objectType="Scroll" dx="15" fmlaLink="#REF!" max="255" page="10" val="0"/>
</file>

<file path=xl/ctrlProps/ctrlProp162.xml><?xml version="1.0" encoding="utf-8"?>
<formControlPr xmlns="http://schemas.microsoft.com/office/spreadsheetml/2009/9/main" objectType="Scroll" dx="15" fmlaLink="#REF!" max="255" page="10" val="0"/>
</file>

<file path=xl/ctrlProps/ctrlProp163.xml><?xml version="1.0" encoding="utf-8"?>
<formControlPr xmlns="http://schemas.microsoft.com/office/spreadsheetml/2009/9/main" objectType="Scroll" dx="15" fmlaLink="#REF!" max="255" page="10" val="0"/>
</file>

<file path=xl/ctrlProps/ctrlProp164.xml><?xml version="1.0" encoding="utf-8"?>
<formControlPr xmlns="http://schemas.microsoft.com/office/spreadsheetml/2009/9/main" objectType="Scroll" dx="15" fmlaLink="#REF!" max="255" page="10" val="0"/>
</file>

<file path=xl/ctrlProps/ctrlProp165.xml><?xml version="1.0" encoding="utf-8"?>
<formControlPr xmlns="http://schemas.microsoft.com/office/spreadsheetml/2009/9/main" objectType="Scroll" dx="15" fmlaLink="#REF!" max="255" page="10" val="0"/>
</file>

<file path=xl/ctrlProps/ctrlProp166.xml><?xml version="1.0" encoding="utf-8"?>
<formControlPr xmlns="http://schemas.microsoft.com/office/spreadsheetml/2009/9/main" objectType="Scroll" dx="15" fmlaLink="#REF!" max="255" page="10" val="0"/>
</file>

<file path=xl/ctrlProps/ctrlProp167.xml><?xml version="1.0" encoding="utf-8"?>
<formControlPr xmlns="http://schemas.microsoft.com/office/spreadsheetml/2009/9/main" objectType="Scroll" dx="15" fmlaLink="#REF!" max="255" page="10" val="0"/>
</file>

<file path=xl/ctrlProps/ctrlProp168.xml><?xml version="1.0" encoding="utf-8"?>
<formControlPr xmlns="http://schemas.microsoft.com/office/spreadsheetml/2009/9/main" objectType="Scroll" dx="15" fmlaLink="#REF!" max="255" page="10" val="0"/>
</file>

<file path=xl/ctrlProps/ctrlProp169.xml><?xml version="1.0" encoding="utf-8"?>
<formControlPr xmlns="http://schemas.microsoft.com/office/spreadsheetml/2009/9/main" objectType="Scroll" dx="15" fmlaLink="#REF!" max="255" page="10" val="0"/>
</file>

<file path=xl/ctrlProps/ctrlProp170.xml><?xml version="1.0" encoding="utf-8"?>
<formControlPr xmlns="http://schemas.microsoft.com/office/spreadsheetml/2009/9/main" objectType="Scroll" dx="15" fmlaLink="#REF!" max="255" page="10" val="0"/>
</file>

<file path=xl/ctrlProps/ctrlProp171.xml><?xml version="1.0" encoding="utf-8"?>
<formControlPr xmlns="http://schemas.microsoft.com/office/spreadsheetml/2009/9/main" objectType="Scroll" dx="15" fmlaLink="#REF!" max="255" page="10" val="0"/>
</file>

<file path=xl/ctrlProps/ctrlProp172.xml><?xml version="1.0" encoding="utf-8"?>
<formControlPr xmlns="http://schemas.microsoft.com/office/spreadsheetml/2009/9/main" objectType="Scroll" dx="15" fmlaLink="#REF!" max="255" page="10" val="0"/>
</file>

<file path=xl/ctrlProps/ctrlProp173.xml><?xml version="1.0" encoding="utf-8"?>
<formControlPr xmlns="http://schemas.microsoft.com/office/spreadsheetml/2009/9/main" objectType="Scroll" dx="15" fmlaLink="#REF!" max="255" page="10" val="0"/>
</file>

<file path=xl/ctrlProps/ctrlProp174.xml><?xml version="1.0" encoding="utf-8"?>
<formControlPr xmlns="http://schemas.microsoft.com/office/spreadsheetml/2009/9/main" objectType="Scroll" dx="15" fmlaLink="#REF!" max="255" page="10" val="0"/>
</file>

<file path=xl/ctrlProps/ctrlProp175.xml><?xml version="1.0" encoding="utf-8"?>
<formControlPr xmlns="http://schemas.microsoft.com/office/spreadsheetml/2009/9/main" objectType="Scroll" dx="15" fmlaLink="#REF!" max="255" page="10" val="0"/>
</file>

<file path=xl/ctrlProps/ctrlProp176.xml><?xml version="1.0" encoding="utf-8"?>
<formControlPr xmlns="http://schemas.microsoft.com/office/spreadsheetml/2009/9/main" objectType="Scroll" dx="15" fmlaLink="#REF!" max="255" page="10" val="0"/>
</file>

<file path=xl/ctrlProps/ctrlProp177.xml><?xml version="1.0" encoding="utf-8"?>
<formControlPr xmlns="http://schemas.microsoft.com/office/spreadsheetml/2009/9/main" objectType="Scroll" dx="15" fmlaLink="#REF!" max="255" page="10" val="0"/>
</file>

<file path=xl/ctrlProps/ctrlProp178.xml><?xml version="1.0" encoding="utf-8"?>
<formControlPr xmlns="http://schemas.microsoft.com/office/spreadsheetml/2009/9/main" objectType="Scroll" dx="15" fmlaLink="#REF!" max="255" page="10" val="0"/>
</file>

<file path=xl/ctrlProps/ctrlProp179.xml><?xml version="1.0" encoding="utf-8"?>
<formControlPr xmlns="http://schemas.microsoft.com/office/spreadsheetml/2009/9/main" objectType="Scroll" dx="15" fmlaLink="#REF!" max="255" page="10" val="0"/>
</file>

<file path=xl/ctrlProps/ctrlProp180.xml><?xml version="1.0" encoding="utf-8"?>
<formControlPr xmlns="http://schemas.microsoft.com/office/spreadsheetml/2009/9/main" objectType="Scroll" dx="15" fmlaLink="#REF!" max="255" page="10" val="0"/>
</file>

<file path=xl/ctrlProps/ctrlProp181.xml><?xml version="1.0" encoding="utf-8"?>
<formControlPr xmlns="http://schemas.microsoft.com/office/spreadsheetml/2009/9/main" objectType="Scroll" dx="15" fmlaLink="#REF!" max="255" page="10" val="0"/>
</file>

<file path=xl/ctrlProps/ctrlProp182.xml><?xml version="1.0" encoding="utf-8"?>
<formControlPr xmlns="http://schemas.microsoft.com/office/spreadsheetml/2009/9/main" objectType="Scroll" dx="15" fmlaLink="#REF!" max="255" page="10" val="0"/>
</file>

<file path=xl/ctrlProps/ctrlProp183.xml><?xml version="1.0" encoding="utf-8"?>
<formControlPr xmlns="http://schemas.microsoft.com/office/spreadsheetml/2009/9/main" objectType="Scroll" dx="15" fmlaLink="#REF!" max="255" page="10" val="0"/>
</file>

<file path=xl/ctrlProps/ctrlProp184.xml><?xml version="1.0" encoding="utf-8"?>
<formControlPr xmlns="http://schemas.microsoft.com/office/spreadsheetml/2009/9/main" objectType="Scroll" dx="15" fmlaLink="#REF!" max="255" page="10" val="0"/>
</file>

<file path=xl/ctrlProps/ctrlProp185.xml><?xml version="1.0" encoding="utf-8"?>
<formControlPr xmlns="http://schemas.microsoft.com/office/spreadsheetml/2009/9/main" objectType="Scroll" dx="15" fmlaLink="#REF!" max="255" page="10" val="0"/>
</file>

<file path=xl/ctrlProps/ctrlProp186.xml><?xml version="1.0" encoding="utf-8"?>
<formControlPr xmlns="http://schemas.microsoft.com/office/spreadsheetml/2009/9/main" objectType="Scroll" dx="15" fmlaLink="#REF!" max="255" page="10" val="0"/>
</file>

<file path=xl/ctrlProps/ctrlProp187.xml><?xml version="1.0" encoding="utf-8"?>
<formControlPr xmlns="http://schemas.microsoft.com/office/spreadsheetml/2009/9/main" objectType="Scroll" dx="15" fmlaLink="#REF!" max="255" page="10" val="0"/>
</file>

<file path=xl/ctrlProps/ctrlProp188.xml><?xml version="1.0" encoding="utf-8"?>
<formControlPr xmlns="http://schemas.microsoft.com/office/spreadsheetml/2009/9/main" objectType="Scroll" dx="15" fmlaLink="#REF!" max="255" page="10" val="0"/>
</file>

<file path=xl/ctrlProps/ctrlProp189.xml><?xml version="1.0" encoding="utf-8"?>
<formControlPr xmlns="http://schemas.microsoft.com/office/spreadsheetml/2009/9/main" objectType="Scroll" dx="15" fmlaLink="#REF!" max="255" page="10" val="0"/>
</file>

<file path=xl/ctrlProps/ctrlProp190.xml><?xml version="1.0" encoding="utf-8"?>
<formControlPr xmlns="http://schemas.microsoft.com/office/spreadsheetml/2009/9/main" objectType="Scroll" dx="15" fmlaLink="#REF!" max="255" page="10" val="0"/>
</file>

<file path=xl/ctrlProps/ctrlProp191.xml><?xml version="1.0" encoding="utf-8"?>
<formControlPr xmlns="http://schemas.microsoft.com/office/spreadsheetml/2009/9/main" objectType="Scroll" dx="15" fmlaLink="#REF!" max="255" page="10" val="0"/>
</file>

<file path=xl/ctrlProps/ctrlProp192.xml><?xml version="1.0" encoding="utf-8"?>
<formControlPr xmlns="http://schemas.microsoft.com/office/spreadsheetml/2009/9/main" objectType="Scroll" dx="15" fmlaLink="#REF!" max="255" page="10" val="0"/>
</file>

<file path=xl/ctrlProps/ctrlProp193.xml><?xml version="1.0" encoding="utf-8"?>
<formControlPr xmlns="http://schemas.microsoft.com/office/spreadsheetml/2009/9/main" objectType="Scroll" dx="15" fmlaLink="#REF!" max="255" page="10" val="0"/>
</file>

<file path=xl/ctrlProps/ctrlProp194.xml><?xml version="1.0" encoding="utf-8"?>
<formControlPr xmlns="http://schemas.microsoft.com/office/spreadsheetml/2009/9/main" objectType="Scroll" dx="15" fmlaLink="#REF!" max="255" page="10" val="0"/>
</file>

<file path=xl/ctrlProps/ctrlProp195.xml><?xml version="1.0" encoding="utf-8"?>
<formControlPr xmlns="http://schemas.microsoft.com/office/spreadsheetml/2009/9/main" objectType="Scroll" dx="15" fmlaLink="#REF!" max="255" page="10" val="0"/>
</file>

<file path=xl/ctrlProps/ctrlProp196.xml><?xml version="1.0" encoding="utf-8"?>
<formControlPr xmlns="http://schemas.microsoft.com/office/spreadsheetml/2009/9/main" objectType="Scroll" dx="15" fmlaLink="#REF!" max="255" page="10" val="0"/>
</file>

<file path=xl/ctrlProps/ctrlProp197.xml><?xml version="1.0" encoding="utf-8"?>
<formControlPr xmlns="http://schemas.microsoft.com/office/spreadsheetml/2009/9/main" objectType="Scroll" dx="15" fmlaLink="#REF!" max="255" page="10" val="0"/>
</file>

<file path=xl/ctrlProps/ctrlProp198.xml><?xml version="1.0" encoding="utf-8"?>
<formControlPr xmlns="http://schemas.microsoft.com/office/spreadsheetml/2009/9/main" objectType="Scroll" dx="15" fmlaLink="#REF!" horiz="1" max="255" page="10" val="0"/>
</file>

<file path=xl/ctrlProps/ctrlProp199.xml><?xml version="1.0" encoding="utf-8"?>
<formControlPr xmlns="http://schemas.microsoft.com/office/spreadsheetml/2009/9/main" objectType="Scroll" dx="15" fmlaLink="#REF!" horiz="1" max="255" page="10" val="0"/>
</file>

<file path=xl/ctrlProps/ctrlProp200.xml><?xml version="1.0" encoding="utf-8"?>
<formControlPr xmlns="http://schemas.microsoft.com/office/spreadsheetml/2009/9/main" objectType="Scroll" dx="15" fmlaLink="#REF!" max="255" page="10" val="0"/>
</file>

<file path=xl/ctrlProps/ctrlProp201.xml><?xml version="1.0" encoding="utf-8"?>
<formControlPr xmlns="http://schemas.microsoft.com/office/spreadsheetml/2009/9/main" objectType="Scroll" dx="15" fmlaLink="#REF!" max="255" page="10" val="0"/>
</file>

<file path=xl/ctrlProps/ctrlProp202.xml><?xml version="1.0" encoding="utf-8"?>
<formControlPr xmlns="http://schemas.microsoft.com/office/spreadsheetml/2009/9/main" objectType="Scroll" dx="15" fmlaLink="#REF!" max="255" page="10" val="0"/>
</file>

<file path=xl/ctrlProps/ctrlProp203.xml><?xml version="1.0" encoding="utf-8"?>
<formControlPr xmlns="http://schemas.microsoft.com/office/spreadsheetml/2009/9/main" objectType="Scroll" dx="15" fmlaLink="#REF!" max="255" page="10" val="0"/>
</file>

<file path=xl/ctrlProps/ctrlProp204.xml><?xml version="1.0" encoding="utf-8"?>
<formControlPr xmlns="http://schemas.microsoft.com/office/spreadsheetml/2009/9/main" objectType="Scroll" dx="15" fmlaLink="#REF!" max="255" page="10" val="0"/>
</file>

<file path=xl/ctrlProps/ctrlProp205.xml><?xml version="1.0" encoding="utf-8"?>
<formControlPr xmlns="http://schemas.microsoft.com/office/spreadsheetml/2009/9/main" objectType="Scroll" dx="15" fmlaLink="#REF!" max="255" page="10" val="0"/>
</file>

<file path=xl/ctrlProps/ctrlProp206.xml><?xml version="1.0" encoding="utf-8"?>
<formControlPr xmlns="http://schemas.microsoft.com/office/spreadsheetml/2009/9/main" objectType="Scroll" dx="15" fmlaLink="#REF!" max="255" page="10" val="0"/>
</file>

<file path=xl/ctrlProps/ctrlProp207.xml><?xml version="1.0" encoding="utf-8"?>
<formControlPr xmlns="http://schemas.microsoft.com/office/spreadsheetml/2009/9/main" objectType="Scroll" dx="15" fmlaLink="#REF!" max="255" page="10" val="0"/>
</file>

<file path=xl/ctrlProps/ctrlProp208.xml><?xml version="1.0" encoding="utf-8"?>
<formControlPr xmlns="http://schemas.microsoft.com/office/spreadsheetml/2009/9/main" objectType="Scroll" dx="15" fmlaLink="#REF!" max="255" page="10" val="0"/>
</file>

<file path=xl/ctrlProps/ctrlProp209.xml><?xml version="1.0" encoding="utf-8"?>
<formControlPr xmlns="http://schemas.microsoft.com/office/spreadsheetml/2009/9/main" objectType="Scroll" dx="15" fmlaLink="#REF!" max="255" page="10" val="0"/>
</file>

<file path=xl/ctrlProps/ctrlProp210.xml><?xml version="1.0" encoding="utf-8"?>
<formControlPr xmlns="http://schemas.microsoft.com/office/spreadsheetml/2009/9/main" objectType="Scroll" dx="15" fmlaLink="#REF!" max="255" page="10" val="0"/>
</file>

<file path=xl/ctrlProps/ctrlProp211.xml><?xml version="1.0" encoding="utf-8"?>
<formControlPr xmlns="http://schemas.microsoft.com/office/spreadsheetml/2009/9/main" objectType="Scroll" dx="15" fmlaLink="#REF!" max="255" page="10" val="0"/>
</file>

<file path=xl/ctrlProps/ctrlProp212.xml><?xml version="1.0" encoding="utf-8"?>
<formControlPr xmlns="http://schemas.microsoft.com/office/spreadsheetml/2009/9/main" objectType="Scroll" dx="15" fmlaLink="#REF!" max="255" page="10" val="0"/>
</file>

<file path=xl/ctrlProps/ctrlProp213.xml><?xml version="1.0" encoding="utf-8"?>
<formControlPr xmlns="http://schemas.microsoft.com/office/spreadsheetml/2009/9/main" objectType="Scroll" dx="15" fmlaLink="#REF!" max="255" page="10" val="0"/>
</file>

<file path=xl/ctrlProps/ctrlProp214.xml><?xml version="1.0" encoding="utf-8"?>
<formControlPr xmlns="http://schemas.microsoft.com/office/spreadsheetml/2009/9/main" objectType="Scroll" dx="15" fmlaLink="#REF!" max="255" page="10" val="0"/>
</file>

<file path=xl/ctrlProps/ctrlProp215.xml><?xml version="1.0" encoding="utf-8"?>
<formControlPr xmlns="http://schemas.microsoft.com/office/spreadsheetml/2009/9/main" objectType="Scroll" dx="15" fmlaLink="#REF!" max="255" page="10" val="0"/>
</file>

<file path=xl/ctrlProps/ctrlProp216.xml><?xml version="1.0" encoding="utf-8"?>
<formControlPr xmlns="http://schemas.microsoft.com/office/spreadsheetml/2009/9/main" objectType="Scroll" dx="15" fmlaLink="#REF!" max="255" page="10" val="0"/>
</file>

<file path=xl/ctrlProps/ctrlProp217.xml><?xml version="1.0" encoding="utf-8"?>
<formControlPr xmlns="http://schemas.microsoft.com/office/spreadsheetml/2009/9/main" objectType="Scroll" dx="15" fmlaLink="#REF!" max="255" page="10" val="0"/>
</file>

<file path=xl/ctrlProps/ctrlProp218.xml><?xml version="1.0" encoding="utf-8"?>
<formControlPr xmlns="http://schemas.microsoft.com/office/spreadsheetml/2009/9/main" objectType="Scroll" dx="15" fmlaLink="#REF!" max="255" page="10" val="0"/>
</file>

<file path=xl/ctrlProps/ctrlProp219.xml><?xml version="1.0" encoding="utf-8"?>
<formControlPr xmlns="http://schemas.microsoft.com/office/spreadsheetml/2009/9/main" objectType="Scroll" dx="15" fmlaLink="#REF!" max="255" page="10" val="0"/>
</file>

<file path=xl/ctrlProps/ctrlProp220.xml><?xml version="1.0" encoding="utf-8"?>
<formControlPr xmlns="http://schemas.microsoft.com/office/spreadsheetml/2009/9/main" objectType="Scroll" dx="15" fmlaLink="#REF!" max="255" page="10" val="0"/>
</file>

<file path=xl/ctrlProps/ctrlProp221.xml><?xml version="1.0" encoding="utf-8"?>
<formControlPr xmlns="http://schemas.microsoft.com/office/spreadsheetml/2009/9/main" objectType="Scroll" dx="15" fmlaLink="#REF!" max="255" page="10" val="0"/>
</file>

<file path=xl/ctrlProps/ctrlProp222.xml><?xml version="1.0" encoding="utf-8"?>
<formControlPr xmlns="http://schemas.microsoft.com/office/spreadsheetml/2009/9/main" objectType="Scroll" dx="15" fmlaLink="#REF!" max="255" page="10" val="0"/>
</file>

<file path=xl/ctrlProps/ctrlProp223.xml><?xml version="1.0" encoding="utf-8"?>
<formControlPr xmlns="http://schemas.microsoft.com/office/spreadsheetml/2009/9/main" objectType="Scroll" dx="15" fmlaLink="#REF!" max="255" page="10" val="0"/>
</file>

<file path=xl/ctrlProps/ctrlProp224.xml><?xml version="1.0" encoding="utf-8"?>
<formControlPr xmlns="http://schemas.microsoft.com/office/spreadsheetml/2009/9/main" objectType="Scroll" dx="15" fmlaLink="#REF!" max="255" page="10" val="0"/>
</file>

<file path=xl/ctrlProps/ctrlProp225.xml><?xml version="1.0" encoding="utf-8"?>
<formControlPr xmlns="http://schemas.microsoft.com/office/spreadsheetml/2009/9/main" objectType="Scroll" dx="15" fmlaLink="#REF!" max="255" page="10" val="0"/>
</file>

<file path=xl/ctrlProps/ctrlProp226.xml><?xml version="1.0" encoding="utf-8"?>
<formControlPr xmlns="http://schemas.microsoft.com/office/spreadsheetml/2009/9/main" objectType="Scroll" dx="15" fmlaLink="#REF!" max="255" page="10" val="0"/>
</file>

<file path=xl/ctrlProps/ctrlProp227.xml><?xml version="1.0" encoding="utf-8"?>
<formControlPr xmlns="http://schemas.microsoft.com/office/spreadsheetml/2009/9/main" objectType="Scroll" dx="15" fmlaLink="#REF!" max="255" page="10" val="0"/>
</file>

<file path=xl/ctrlProps/ctrlProp228.xml><?xml version="1.0" encoding="utf-8"?>
<formControlPr xmlns="http://schemas.microsoft.com/office/spreadsheetml/2009/9/main" objectType="Scroll" dx="15" fmlaLink="#REF!" max="255" page="10" val="0"/>
</file>

<file path=xl/ctrlProps/ctrlProp229.xml><?xml version="1.0" encoding="utf-8"?>
<formControlPr xmlns="http://schemas.microsoft.com/office/spreadsheetml/2009/9/main" objectType="Scroll" dx="15" fmlaLink="#REF!" max="255" page="10" val="0"/>
</file>

<file path=xl/ctrlProps/ctrlProp230.xml><?xml version="1.0" encoding="utf-8"?>
<formControlPr xmlns="http://schemas.microsoft.com/office/spreadsheetml/2009/9/main" objectType="Scroll" dx="15" fmlaLink="#REF!" max="255" page="10" val="0"/>
</file>

<file path=xl/ctrlProps/ctrlProp231.xml><?xml version="1.0" encoding="utf-8"?>
<formControlPr xmlns="http://schemas.microsoft.com/office/spreadsheetml/2009/9/main" objectType="Scroll" dx="15" fmlaLink="#REF!" max="255" page="10" val="0"/>
</file>

<file path=xl/ctrlProps/ctrlProp232.xml><?xml version="1.0" encoding="utf-8"?>
<formControlPr xmlns="http://schemas.microsoft.com/office/spreadsheetml/2009/9/main" objectType="Scroll" dx="15" fmlaLink="#REF!" max="255" page="10" val="0"/>
</file>

<file path=xl/ctrlProps/ctrlProp233.xml><?xml version="1.0" encoding="utf-8"?>
<formControlPr xmlns="http://schemas.microsoft.com/office/spreadsheetml/2009/9/main" objectType="Scroll" dx="15" fmlaLink="#REF!" max="255" page="10" val="0"/>
</file>

<file path=xl/ctrlProps/ctrlProp234.xml><?xml version="1.0" encoding="utf-8"?>
<formControlPr xmlns="http://schemas.microsoft.com/office/spreadsheetml/2009/9/main" objectType="Scroll" dx="15" fmlaLink="#REF!" max="255" page="10" val="0"/>
</file>

<file path=xl/ctrlProps/ctrlProp235.xml><?xml version="1.0" encoding="utf-8"?>
<formControlPr xmlns="http://schemas.microsoft.com/office/spreadsheetml/2009/9/main" objectType="Scroll" dx="15" fmlaLink="#REF!" max="255" page="10" val="0"/>
</file>

<file path=xl/ctrlProps/ctrlProp236.xml><?xml version="1.0" encoding="utf-8"?>
<formControlPr xmlns="http://schemas.microsoft.com/office/spreadsheetml/2009/9/main" objectType="Scroll" dx="15" fmlaLink="#REF!" max="255" page="10" val="0"/>
</file>

<file path=xl/ctrlProps/ctrlProp237.xml><?xml version="1.0" encoding="utf-8"?>
<formControlPr xmlns="http://schemas.microsoft.com/office/spreadsheetml/2009/9/main" objectType="Scroll" dx="15" fmlaLink="#REF!" max="255" page="10" val="0"/>
</file>

<file path=xl/ctrlProps/ctrlProp238.xml><?xml version="1.0" encoding="utf-8"?>
<formControlPr xmlns="http://schemas.microsoft.com/office/spreadsheetml/2009/9/main" objectType="Scroll" dx="15" fmlaLink="#REF!" max="255" page="10" val="0"/>
</file>

<file path=xl/ctrlProps/ctrlProp239.xml><?xml version="1.0" encoding="utf-8"?>
<formControlPr xmlns="http://schemas.microsoft.com/office/spreadsheetml/2009/9/main" objectType="Scroll" dx="15" fmlaLink="#REF!" max="255" page="10" val="0"/>
</file>

<file path=xl/ctrlProps/ctrlProp240.xml><?xml version="1.0" encoding="utf-8"?>
<formControlPr xmlns="http://schemas.microsoft.com/office/spreadsheetml/2009/9/main" objectType="Scroll" dx="15" fmlaLink="#REF!" max="255" page="10" val="0"/>
</file>

<file path=xl/ctrlProps/ctrlProp241.xml><?xml version="1.0" encoding="utf-8"?>
<formControlPr xmlns="http://schemas.microsoft.com/office/spreadsheetml/2009/9/main" objectType="Scroll" dx="15" fmlaLink="#REF!" max="255" page="10" val="0"/>
</file>

<file path=xl/ctrlProps/ctrlProp242.xml><?xml version="1.0" encoding="utf-8"?>
<formControlPr xmlns="http://schemas.microsoft.com/office/spreadsheetml/2009/9/main" objectType="Scroll" dx="15" fmlaLink="#REF!" max="255" page="10" val="0"/>
</file>

<file path=xl/ctrlProps/ctrlProp243.xml><?xml version="1.0" encoding="utf-8"?>
<formControlPr xmlns="http://schemas.microsoft.com/office/spreadsheetml/2009/9/main" objectType="Scroll" dx="15" fmlaLink="#REF!" max="255" page="10" val="0"/>
</file>

<file path=xl/ctrlProps/ctrlProp244.xml><?xml version="1.0" encoding="utf-8"?>
<formControlPr xmlns="http://schemas.microsoft.com/office/spreadsheetml/2009/9/main" objectType="Scroll" dx="15" fmlaLink="#REF!" max="255" page="10" val="0"/>
</file>

<file path=xl/ctrlProps/ctrlProp245.xml><?xml version="1.0" encoding="utf-8"?>
<formControlPr xmlns="http://schemas.microsoft.com/office/spreadsheetml/2009/9/main" objectType="Scroll" dx="15" fmlaLink="#REF!" max="255" page="10" val="0"/>
</file>

<file path=xl/ctrlProps/ctrlProp246.xml><?xml version="1.0" encoding="utf-8"?>
<formControlPr xmlns="http://schemas.microsoft.com/office/spreadsheetml/2009/9/main" objectType="Scroll" dx="15" fmlaLink="#REF!" max="255" page="10" val="0"/>
</file>

<file path=xl/ctrlProps/ctrlProp247.xml><?xml version="1.0" encoding="utf-8"?>
<formControlPr xmlns="http://schemas.microsoft.com/office/spreadsheetml/2009/9/main" objectType="Scroll" dx="15" fmlaLink="#REF!" max="255" page="10" val="0"/>
</file>

<file path=xl/ctrlProps/ctrlProp248.xml><?xml version="1.0" encoding="utf-8"?>
<formControlPr xmlns="http://schemas.microsoft.com/office/spreadsheetml/2009/9/main" objectType="Scroll" dx="15" fmlaLink="#REF!" max="255" page="10" val="0"/>
</file>

<file path=xl/ctrlProps/ctrlProp249.xml><?xml version="1.0" encoding="utf-8"?>
<formControlPr xmlns="http://schemas.microsoft.com/office/spreadsheetml/2009/9/main" objectType="Scroll" dx="15" fmlaLink="#REF!" max="255" page="10" val="0"/>
</file>

<file path=xl/ctrlProps/ctrlProp250.xml><?xml version="1.0" encoding="utf-8"?>
<formControlPr xmlns="http://schemas.microsoft.com/office/spreadsheetml/2009/9/main" objectType="Scroll" dx="15" fmlaLink="#REF!" max="255" page="10" val="0"/>
</file>

<file path=xl/ctrlProps/ctrlProp251.xml><?xml version="1.0" encoding="utf-8"?>
<formControlPr xmlns="http://schemas.microsoft.com/office/spreadsheetml/2009/9/main" objectType="Scroll" dx="15" fmlaLink="#REF!" max="255" page="10" val="0"/>
</file>

<file path=xl/ctrlProps/ctrlProp252.xml><?xml version="1.0" encoding="utf-8"?>
<formControlPr xmlns="http://schemas.microsoft.com/office/spreadsheetml/2009/9/main" objectType="Scroll" dx="15" fmlaLink="#REF!" max="255" page="10" val="0"/>
</file>

<file path=xl/ctrlProps/ctrlProp253.xml><?xml version="1.0" encoding="utf-8"?>
<formControlPr xmlns="http://schemas.microsoft.com/office/spreadsheetml/2009/9/main" objectType="Scroll" dx="15" fmlaLink="#REF!" max="255" page="10" val="0"/>
</file>

<file path=xl/ctrlProps/ctrlProp254.xml><?xml version="1.0" encoding="utf-8"?>
<formControlPr xmlns="http://schemas.microsoft.com/office/spreadsheetml/2009/9/main" objectType="Scroll" dx="15" fmlaLink="#REF!" max="255" page="10" val="0"/>
</file>

<file path=xl/ctrlProps/ctrlProp255.xml><?xml version="1.0" encoding="utf-8"?>
<formControlPr xmlns="http://schemas.microsoft.com/office/spreadsheetml/2009/9/main" objectType="Scroll" dx="15" fmlaLink="#REF!" max="255" page="10" val="0"/>
</file>

<file path=xl/ctrlProps/ctrlProp256.xml><?xml version="1.0" encoding="utf-8"?>
<formControlPr xmlns="http://schemas.microsoft.com/office/spreadsheetml/2009/9/main" objectType="Scroll" dx="15" fmlaLink="#REF!" max="255" page="10" val="0"/>
</file>

<file path=xl/ctrlProps/ctrlProp257.xml><?xml version="1.0" encoding="utf-8"?>
<formControlPr xmlns="http://schemas.microsoft.com/office/spreadsheetml/2009/9/main" objectType="Scroll" dx="15" fmlaLink="#REF!" max="255" page="10" val="0"/>
</file>

<file path=xl/ctrlProps/ctrlProp258.xml><?xml version="1.0" encoding="utf-8"?>
<formControlPr xmlns="http://schemas.microsoft.com/office/spreadsheetml/2009/9/main" objectType="Scroll" dx="15" fmlaLink="#REF!" max="255" page="10" val="0"/>
</file>

<file path=xl/ctrlProps/ctrlProp259.xml><?xml version="1.0" encoding="utf-8"?>
<formControlPr xmlns="http://schemas.microsoft.com/office/spreadsheetml/2009/9/main" objectType="Scroll" dx="15" fmlaLink="#REF!" max="255" page="10" val="0"/>
</file>

<file path=xl/ctrlProps/ctrlProp260.xml><?xml version="1.0" encoding="utf-8"?>
<formControlPr xmlns="http://schemas.microsoft.com/office/spreadsheetml/2009/9/main" objectType="Scroll" dx="15" fmlaLink="#REF!" max="255" page="10" val="0"/>
</file>

<file path=xl/ctrlProps/ctrlProp261.xml><?xml version="1.0" encoding="utf-8"?>
<formControlPr xmlns="http://schemas.microsoft.com/office/spreadsheetml/2009/9/main" objectType="Scroll" dx="15" fmlaLink="#REF!" max="255" page="10" val="0"/>
</file>

<file path=xl/ctrlProps/ctrlProp262.xml><?xml version="1.0" encoding="utf-8"?>
<formControlPr xmlns="http://schemas.microsoft.com/office/spreadsheetml/2009/9/main" objectType="Scroll" dx="15" fmlaLink="#REF!" max="255" page="10" val="0"/>
</file>

<file path=xl/ctrlProps/ctrlProp263.xml><?xml version="1.0" encoding="utf-8"?>
<formControlPr xmlns="http://schemas.microsoft.com/office/spreadsheetml/2009/9/main" objectType="Scroll" dx="15" fmlaLink="#REF!" max="255" page="10" val="0"/>
</file>

<file path=xl/ctrlProps/ctrlProp264.xml><?xml version="1.0" encoding="utf-8"?>
<formControlPr xmlns="http://schemas.microsoft.com/office/spreadsheetml/2009/9/main" objectType="Scroll" dx="15" fmlaLink="#REF!" max="255" page="10" val="0"/>
</file>

<file path=xl/ctrlProps/ctrlProp265.xml><?xml version="1.0" encoding="utf-8"?>
<formControlPr xmlns="http://schemas.microsoft.com/office/spreadsheetml/2009/9/main" objectType="Scroll" dx="15" fmlaLink="#REF!" max="255" page="10" val="0"/>
</file>

<file path=xl/ctrlProps/ctrlProp266.xml><?xml version="1.0" encoding="utf-8"?>
<formControlPr xmlns="http://schemas.microsoft.com/office/spreadsheetml/2009/9/main" objectType="Scroll" dx="15" fmlaLink="#REF!" max="255" page="10" val="0"/>
</file>

<file path=xl/ctrlProps/ctrlProp267.xml><?xml version="1.0" encoding="utf-8"?>
<formControlPr xmlns="http://schemas.microsoft.com/office/spreadsheetml/2009/9/main" objectType="Scroll" dx="15" fmlaLink="#REF!" max="255" page="10" val="0"/>
</file>

<file path=xl/ctrlProps/ctrlProp268.xml><?xml version="1.0" encoding="utf-8"?>
<formControlPr xmlns="http://schemas.microsoft.com/office/spreadsheetml/2009/9/main" objectType="Scroll" dx="15" fmlaLink="#REF!" max="255" page="10" val="0"/>
</file>

<file path=xl/ctrlProps/ctrlProp269.xml><?xml version="1.0" encoding="utf-8"?>
<formControlPr xmlns="http://schemas.microsoft.com/office/spreadsheetml/2009/9/main" objectType="Scroll" dx="15" fmlaLink="#REF!" max="255" page="10" val="0"/>
</file>

<file path=xl/ctrlProps/ctrlProp270.xml><?xml version="1.0" encoding="utf-8"?>
<formControlPr xmlns="http://schemas.microsoft.com/office/spreadsheetml/2009/9/main" objectType="Scroll" dx="15" fmlaLink="#REF!" max="255" page="10" val="0"/>
</file>

<file path=xl/ctrlProps/ctrlProp271.xml><?xml version="1.0" encoding="utf-8"?>
<formControlPr xmlns="http://schemas.microsoft.com/office/spreadsheetml/2009/9/main" objectType="Scroll" dx="15" fmlaLink="#REF!" max="255" page="10" val="0"/>
</file>

<file path=xl/ctrlProps/ctrlProp272.xml><?xml version="1.0" encoding="utf-8"?>
<formControlPr xmlns="http://schemas.microsoft.com/office/spreadsheetml/2009/9/main" objectType="Scroll" dx="15" fmlaLink="#REF!" max="255" page="10" val="0"/>
</file>

<file path=xl/ctrlProps/ctrlProp273.xml><?xml version="1.0" encoding="utf-8"?>
<formControlPr xmlns="http://schemas.microsoft.com/office/spreadsheetml/2009/9/main" objectType="Scroll" dx="15" fmlaLink="#REF!" max="255" page="10" val="0"/>
</file>

<file path=xl/ctrlProps/ctrlProp274.xml><?xml version="1.0" encoding="utf-8"?>
<formControlPr xmlns="http://schemas.microsoft.com/office/spreadsheetml/2009/9/main" objectType="Scroll" dx="15" fmlaLink="#REF!" max="255" page="10" val="0"/>
</file>

<file path=xl/ctrlProps/ctrlProp275.xml><?xml version="1.0" encoding="utf-8"?>
<formControlPr xmlns="http://schemas.microsoft.com/office/spreadsheetml/2009/9/main" objectType="Scroll" dx="15" fmlaLink="#REF!" max="255" page="10" val="0"/>
</file>

<file path=xl/ctrlProps/ctrlProp276.xml><?xml version="1.0" encoding="utf-8"?>
<formControlPr xmlns="http://schemas.microsoft.com/office/spreadsheetml/2009/9/main" objectType="Scroll" dx="15" fmlaLink="#REF!" max="255" page="10" val="0"/>
</file>

<file path=xl/ctrlProps/ctrlProp277.xml><?xml version="1.0" encoding="utf-8"?>
<formControlPr xmlns="http://schemas.microsoft.com/office/spreadsheetml/2009/9/main" objectType="Scroll" dx="15" fmlaLink="#REF!" max="255" page="10" val="0"/>
</file>

<file path=xl/ctrlProps/ctrlProp278.xml><?xml version="1.0" encoding="utf-8"?>
<formControlPr xmlns="http://schemas.microsoft.com/office/spreadsheetml/2009/9/main" objectType="Scroll" dx="15" fmlaLink="#REF!" max="255" page="10" val="0"/>
</file>

<file path=xl/ctrlProps/ctrlProp279.xml><?xml version="1.0" encoding="utf-8"?>
<formControlPr xmlns="http://schemas.microsoft.com/office/spreadsheetml/2009/9/main" objectType="Scroll" dx="15" fmlaLink="#REF!" max="255" page="10" val="0"/>
</file>

<file path=xl/ctrlProps/ctrlProp280.xml><?xml version="1.0" encoding="utf-8"?>
<formControlPr xmlns="http://schemas.microsoft.com/office/spreadsheetml/2009/9/main" objectType="Scroll" dx="15" fmlaLink="#REF!" max="255" page="10" val="0"/>
</file>

<file path=xl/ctrlProps/ctrlProp281.xml><?xml version="1.0" encoding="utf-8"?>
<formControlPr xmlns="http://schemas.microsoft.com/office/spreadsheetml/2009/9/main" objectType="Scroll" dx="15" fmlaLink="#REF!" max="255" page="10" val="0"/>
</file>

<file path=xl/ctrlProps/ctrlProp282.xml><?xml version="1.0" encoding="utf-8"?>
<formControlPr xmlns="http://schemas.microsoft.com/office/spreadsheetml/2009/9/main" objectType="Scroll" dx="15" fmlaLink="#REF!" max="255" page="10" val="0"/>
</file>

<file path=xl/ctrlProps/ctrlProp283.xml><?xml version="1.0" encoding="utf-8"?>
<formControlPr xmlns="http://schemas.microsoft.com/office/spreadsheetml/2009/9/main" objectType="Scroll" dx="15" fmlaLink="#REF!" max="255" page="10" val="0"/>
</file>

<file path=xl/ctrlProps/ctrlProp284.xml><?xml version="1.0" encoding="utf-8"?>
<formControlPr xmlns="http://schemas.microsoft.com/office/spreadsheetml/2009/9/main" objectType="Scroll" dx="15" fmlaLink="#REF!" max="255" page="10" val="0"/>
</file>

<file path=xl/ctrlProps/ctrlProp285.xml><?xml version="1.0" encoding="utf-8"?>
<formControlPr xmlns="http://schemas.microsoft.com/office/spreadsheetml/2009/9/main" objectType="Scroll" dx="15" fmlaLink="#REF!" max="255" page="10" val="0"/>
</file>

<file path=xl/ctrlProps/ctrlProp286.xml><?xml version="1.0" encoding="utf-8"?>
<formControlPr xmlns="http://schemas.microsoft.com/office/spreadsheetml/2009/9/main" objectType="Scroll" dx="15" fmlaLink="#REF!" max="255" page="10" val="0"/>
</file>

<file path=xl/ctrlProps/ctrlProp287.xml><?xml version="1.0" encoding="utf-8"?>
<formControlPr xmlns="http://schemas.microsoft.com/office/spreadsheetml/2009/9/main" objectType="Scroll" dx="15" fmlaLink="#REF!" max="255" page="10" val="0"/>
</file>

<file path=xl/ctrlProps/ctrlProp288.xml><?xml version="1.0" encoding="utf-8"?>
<formControlPr xmlns="http://schemas.microsoft.com/office/spreadsheetml/2009/9/main" objectType="Scroll" dx="15" fmlaLink="#REF!" max="255" page="10" val="0"/>
</file>

<file path=xl/ctrlProps/ctrlProp289.xml><?xml version="1.0" encoding="utf-8"?>
<formControlPr xmlns="http://schemas.microsoft.com/office/spreadsheetml/2009/9/main" objectType="Scroll" dx="15" fmlaLink="#REF!" max="255" page="10" val="0"/>
</file>

<file path=xl/ctrlProps/ctrlProp290.xml><?xml version="1.0" encoding="utf-8"?>
<formControlPr xmlns="http://schemas.microsoft.com/office/spreadsheetml/2009/9/main" objectType="Scroll" dx="15" fmlaLink="#REF!" max="255" page="10" val="0"/>
</file>

<file path=xl/ctrlProps/ctrlProp291.xml><?xml version="1.0" encoding="utf-8"?>
<formControlPr xmlns="http://schemas.microsoft.com/office/spreadsheetml/2009/9/main" objectType="Scroll" dx="15" fmlaLink="#REF!" max="255" page="10" val="0"/>
</file>

<file path=xl/ctrlProps/ctrlProp292.xml><?xml version="1.0" encoding="utf-8"?>
<formControlPr xmlns="http://schemas.microsoft.com/office/spreadsheetml/2009/9/main" objectType="Scroll" dx="15" fmlaLink="#REF!" max="255" page="10" val="0"/>
</file>

<file path=xl/ctrlProps/ctrlProp293.xml><?xml version="1.0" encoding="utf-8"?>
<formControlPr xmlns="http://schemas.microsoft.com/office/spreadsheetml/2009/9/main" objectType="Scroll" dx="15" fmlaLink="#REF!" max="255" page="10" val="0"/>
</file>

<file path=xl/ctrlProps/ctrlProp294.xml><?xml version="1.0" encoding="utf-8"?>
<formControlPr xmlns="http://schemas.microsoft.com/office/spreadsheetml/2009/9/main" objectType="Scroll" dx="15" fmlaLink="#REF!" max="255" page="10" val="0"/>
</file>

<file path=xl/ctrlProps/ctrlProp295.xml><?xml version="1.0" encoding="utf-8"?>
<formControlPr xmlns="http://schemas.microsoft.com/office/spreadsheetml/2009/9/main" objectType="Scroll" dx="15" fmlaLink="#REF!" max="255" page="10" val="0"/>
</file>

<file path=xl/ctrlProps/ctrlProp296.xml><?xml version="1.0" encoding="utf-8"?>
<formControlPr xmlns="http://schemas.microsoft.com/office/spreadsheetml/2009/9/main" objectType="Scroll" dx="15" fmlaLink="#REF!" max="255" page="10" val="0"/>
</file>

<file path=xl/ctrlProps/ctrlProp297.xml><?xml version="1.0" encoding="utf-8"?>
<formControlPr xmlns="http://schemas.microsoft.com/office/spreadsheetml/2009/9/main" objectType="Scroll" dx="15" fmlaLink="#REF!" max="255" page="10" val="0"/>
</file>

<file path=xl/ctrlProps/ctrlProp298.xml><?xml version="1.0" encoding="utf-8"?>
<formControlPr xmlns="http://schemas.microsoft.com/office/spreadsheetml/2009/9/main" objectType="Scroll" dx="15" fmlaLink="#REF!" max="255" page="10" val="0"/>
</file>

<file path=xl/ctrlProps/ctrlProp299.xml><?xml version="1.0" encoding="utf-8"?>
<formControlPr xmlns="http://schemas.microsoft.com/office/spreadsheetml/2009/9/main" objectType="Scroll" dx="15" fmlaLink="#REF!" max="255" page="10" val="0"/>
</file>

<file path=xl/ctrlProps/ctrlProp300.xml><?xml version="1.0" encoding="utf-8"?>
<formControlPr xmlns="http://schemas.microsoft.com/office/spreadsheetml/2009/9/main" objectType="Scroll" dx="15" fmlaLink="#REF!" max="255" page="10" val="0"/>
</file>

<file path=xl/ctrlProps/ctrlProp301.xml><?xml version="1.0" encoding="utf-8"?>
<formControlPr xmlns="http://schemas.microsoft.com/office/spreadsheetml/2009/9/main" objectType="Scroll" dx="15" fmlaLink="#REF!" max="255" page="10" val="0"/>
</file>

<file path=xl/ctrlProps/ctrlProp302.xml><?xml version="1.0" encoding="utf-8"?>
<formControlPr xmlns="http://schemas.microsoft.com/office/spreadsheetml/2009/9/main" objectType="Scroll" dx="15" fmlaLink="#REF!" max="255" page="10" val="0"/>
</file>

<file path=xl/ctrlProps/ctrlProp303.xml><?xml version="1.0" encoding="utf-8"?>
<formControlPr xmlns="http://schemas.microsoft.com/office/spreadsheetml/2009/9/main" objectType="Scroll" dx="15" fmlaLink="#REF!" max="255" page="10" val="0"/>
</file>

<file path=xl/ctrlProps/ctrlProp304.xml><?xml version="1.0" encoding="utf-8"?>
<formControlPr xmlns="http://schemas.microsoft.com/office/spreadsheetml/2009/9/main" objectType="Scroll" dx="15" fmlaLink="#REF!" max="255" page="10" val="0"/>
</file>

<file path=xl/ctrlProps/ctrlProp305.xml><?xml version="1.0" encoding="utf-8"?>
<formControlPr xmlns="http://schemas.microsoft.com/office/spreadsheetml/2009/9/main" objectType="Scroll" dx="15" fmlaLink="#REF!" max="255" page="10" val="0"/>
</file>

<file path=xl/ctrlProps/ctrlProp306.xml><?xml version="1.0" encoding="utf-8"?>
<formControlPr xmlns="http://schemas.microsoft.com/office/spreadsheetml/2009/9/main" objectType="Scroll" dx="15" fmlaLink="#REF!" max="255" page="10" val="0"/>
</file>

<file path=xl/ctrlProps/ctrlProp307.xml><?xml version="1.0" encoding="utf-8"?>
<formControlPr xmlns="http://schemas.microsoft.com/office/spreadsheetml/2009/9/main" objectType="Scroll" dx="15" fmlaLink="#REF!" max="255" page="10" val="0"/>
</file>

<file path=xl/ctrlProps/ctrlProp308.xml><?xml version="1.0" encoding="utf-8"?>
<formControlPr xmlns="http://schemas.microsoft.com/office/spreadsheetml/2009/9/main" objectType="Scroll" dx="15" fmlaLink="#REF!" max="255" page="10" val="0"/>
</file>

<file path=xl/ctrlProps/ctrlProp309.xml><?xml version="1.0" encoding="utf-8"?>
<formControlPr xmlns="http://schemas.microsoft.com/office/spreadsheetml/2009/9/main" objectType="Scroll" dx="15" fmlaLink="#REF!" max="255" page="10" val="0"/>
</file>

<file path=xl/ctrlProps/ctrlProp310.xml><?xml version="1.0" encoding="utf-8"?>
<formControlPr xmlns="http://schemas.microsoft.com/office/spreadsheetml/2009/9/main" objectType="Scroll" dx="15" fmlaLink="#REF!" max="255" page="10" val="0"/>
</file>

<file path=xl/ctrlProps/ctrlProp311.xml><?xml version="1.0" encoding="utf-8"?>
<formControlPr xmlns="http://schemas.microsoft.com/office/spreadsheetml/2009/9/main" objectType="Scroll" dx="15" fmlaLink="#REF!" max="255" page="10" val="0"/>
</file>

<file path=xl/ctrlProps/ctrlProp312.xml><?xml version="1.0" encoding="utf-8"?>
<formControlPr xmlns="http://schemas.microsoft.com/office/spreadsheetml/2009/9/main" objectType="Scroll" dx="15" fmlaLink="#REF!" max="255" page="10" val="0"/>
</file>

<file path=xl/ctrlProps/ctrlProp313.xml><?xml version="1.0" encoding="utf-8"?>
<formControlPr xmlns="http://schemas.microsoft.com/office/spreadsheetml/2009/9/main" objectType="Scroll" dx="15" fmlaLink="#REF!" max="255" page="10" val="0"/>
</file>

<file path=xl/ctrlProps/ctrlProp314.xml><?xml version="1.0" encoding="utf-8"?>
<formControlPr xmlns="http://schemas.microsoft.com/office/spreadsheetml/2009/9/main" objectType="Scroll" dx="15" fmlaLink="#REF!" max="255" page="10" val="0"/>
</file>

<file path=xl/ctrlProps/ctrlProp315.xml><?xml version="1.0" encoding="utf-8"?>
<formControlPr xmlns="http://schemas.microsoft.com/office/spreadsheetml/2009/9/main" objectType="Scroll" dx="15" fmlaLink="#REF!" max="255" page="10" val="0"/>
</file>

<file path=xl/ctrlProps/ctrlProp316.xml><?xml version="1.0" encoding="utf-8"?>
<formControlPr xmlns="http://schemas.microsoft.com/office/spreadsheetml/2009/9/main" objectType="Scroll" dx="15" fmlaLink="#REF!" max="255" page="10" val="0"/>
</file>

<file path=xl/ctrlProps/ctrlProp317.xml><?xml version="1.0" encoding="utf-8"?>
<formControlPr xmlns="http://schemas.microsoft.com/office/spreadsheetml/2009/9/main" objectType="Scroll" dx="15" fmlaLink="#REF!" max="255" page="10" val="0"/>
</file>

<file path=xl/ctrlProps/ctrlProp318.xml><?xml version="1.0" encoding="utf-8"?>
<formControlPr xmlns="http://schemas.microsoft.com/office/spreadsheetml/2009/9/main" objectType="Scroll" dx="15" fmlaLink="#REF!" max="255" page="10" val="0"/>
</file>

<file path=xl/ctrlProps/ctrlProp319.xml><?xml version="1.0" encoding="utf-8"?>
<formControlPr xmlns="http://schemas.microsoft.com/office/spreadsheetml/2009/9/main" objectType="Scroll" dx="15" fmlaLink="#REF!" max="255" page="10" val="0"/>
</file>

<file path=xl/ctrlProps/ctrlProp320.xml><?xml version="1.0" encoding="utf-8"?>
<formControlPr xmlns="http://schemas.microsoft.com/office/spreadsheetml/2009/9/main" objectType="Scroll" dx="15" fmlaLink="#REF!" max="255" page="10" val="0"/>
</file>

<file path=xl/ctrlProps/ctrlProp321.xml><?xml version="1.0" encoding="utf-8"?>
<formControlPr xmlns="http://schemas.microsoft.com/office/spreadsheetml/2009/9/main" objectType="Scroll" dx="15" fmlaLink="#REF!" max="255" page="10" val="0"/>
</file>

<file path=xl/ctrlProps/ctrlProp322.xml><?xml version="1.0" encoding="utf-8"?>
<formControlPr xmlns="http://schemas.microsoft.com/office/spreadsheetml/2009/9/main" objectType="Scroll" dx="15" fmlaLink="#REF!" max="255" page="10" val="0"/>
</file>

<file path=xl/ctrlProps/ctrlProp323.xml><?xml version="1.0" encoding="utf-8"?>
<formControlPr xmlns="http://schemas.microsoft.com/office/spreadsheetml/2009/9/main" objectType="Scroll" dx="15" fmlaLink="#REF!" max="255" page="10" val="0"/>
</file>

<file path=xl/ctrlProps/ctrlProp324.xml><?xml version="1.0" encoding="utf-8"?>
<formControlPr xmlns="http://schemas.microsoft.com/office/spreadsheetml/2009/9/main" objectType="Scroll" dx="15" fmlaLink="#REF!" max="255" page="10" val="0"/>
</file>

<file path=xl/ctrlProps/ctrlProp325.xml><?xml version="1.0" encoding="utf-8"?>
<formControlPr xmlns="http://schemas.microsoft.com/office/spreadsheetml/2009/9/main" objectType="Scroll" dx="15" fmlaLink="#REF!" max="255" page="10" val="0"/>
</file>

<file path=xl/ctrlProps/ctrlProp326.xml><?xml version="1.0" encoding="utf-8"?>
<formControlPr xmlns="http://schemas.microsoft.com/office/spreadsheetml/2009/9/main" objectType="Scroll" dx="15" fmlaLink="#REF!" max="255" page="10" val="0"/>
</file>

<file path=xl/ctrlProps/ctrlProp327.xml><?xml version="1.0" encoding="utf-8"?>
<formControlPr xmlns="http://schemas.microsoft.com/office/spreadsheetml/2009/9/main" objectType="Scroll" dx="15" fmlaLink="#REF!" max="255" page="10" val="0"/>
</file>

<file path=xl/ctrlProps/ctrlProp328.xml><?xml version="1.0" encoding="utf-8"?>
<formControlPr xmlns="http://schemas.microsoft.com/office/spreadsheetml/2009/9/main" objectType="Scroll" dx="15" fmlaLink="#REF!" horiz="1" max="255" page="10" val="0"/>
</file>

<file path=xl/ctrlProps/ctrlProp329.xml><?xml version="1.0" encoding="utf-8"?>
<formControlPr xmlns="http://schemas.microsoft.com/office/spreadsheetml/2009/9/main" objectType="Scroll" dx="15" fmlaLink="#REF!" horiz="1" max="255" page="10" val="0"/>
</file>

<file path=xl/ctrlProps/ctrlProp330.xml><?xml version="1.0" encoding="utf-8"?>
<formControlPr xmlns="http://schemas.microsoft.com/office/spreadsheetml/2009/9/main" objectType="Scroll" dx="15" fmlaLink="#REF!" max="255" page="10" val="0"/>
</file>

<file path=xl/ctrlProps/ctrlProp331.xml><?xml version="1.0" encoding="utf-8"?>
<formControlPr xmlns="http://schemas.microsoft.com/office/spreadsheetml/2009/9/main" objectType="Scroll" dx="15" fmlaLink="#REF!" max="255" page="10" val="0"/>
</file>

<file path=xl/ctrlProps/ctrlProp332.xml><?xml version="1.0" encoding="utf-8"?>
<formControlPr xmlns="http://schemas.microsoft.com/office/spreadsheetml/2009/9/main" objectType="Scroll" dx="15" fmlaLink="#REF!" max="255" page="10" val="0"/>
</file>

<file path=xl/ctrlProps/ctrlProp333.xml><?xml version="1.0" encoding="utf-8"?>
<formControlPr xmlns="http://schemas.microsoft.com/office/spreadsheetml/2009/9/main" objectType="Scroll" dx="15" fmlaLink="#REF!" max="255" page="10" val="0"/>
</file>

<file path=xl/ctrlProps/ctrlProp334.xml><?xml version="1.0" encoding="utf-8"?>
<formControlPr xmlns="http://schemas.microsoft.com/office/spreadsheetml/2009/9/main" objectType="Scroll" dx="15" fmlaLink="#REF!" max="255" page="10" val="0"/>
</file>

<file path=xl/ctrlProps/ctrlProp335.xml><?xml version="1.0" encoding="utf-8"?>
<formControlPr xmlns="http://schemas.microsoft.com/office/spreadsheetml/2009/9/main" objectType="Scroll" dx="15" fmlaLink="#REF!" max="255" page="10" val="0"/>
</file>

<file path=xl/ctrlProps/ctrlProp336.xml><?xml version="1.0" encoding="utf-8"?>
<formControlPr xmlns="http://schemas.microsoft.com/office/spreadsheetml/2009/9/main" objectType="Scroll" dx="15" fmlaLink="#REF!" max="255" page="10" val="0"/>
</file>

<file path=xl/ctrlProps/ctrlProp337.xml><?xml version="1.0" encoding="utf-8"?>
<formControlPr xmlns="http://schemas.microsoft.com/office/spreadsheetml/2009/9/main" objectType="Scroll" dx="15" fmlaLink="#REF!" max="255" page="10" val="0"/>
</file>

<file path=xl/ctrlProps/ctrlProp338.xml><?xml version="1.0" encoding="utf-8"?>
<formControlPr xmlns="http://schemas.microsoft.com/office/spreadsheetml/2009/9/main" objectType="Scroll" dx="15" fmlaLink="#REF!" max="255" page="10" val="0"/>
</file>

<file path=xl/ctrlProps/ctrlProp339.xml><?xml version="1.0" encoding="utf-8"?>
<formControlPr xmlns="http://schemas.microsoft.com/office/spreadsheetml/2009/9/main" objectType="Scroll" dx="15" fmlaLink="#REF!" max="255" page="10" val="0"/>
</file>

<file path=xl/ctrlProps/ctrlProp340.xml><?xml version="1.0" encoding="utf-8"?>
<formControlPr xmlns="http://schemas.microsoft.com/office/spreadsheetml/2009/9/main" objectType="Scroll" dx="15" fmlaLink="#REF!" max="255" page="10" val="0"/>
</file>

<file path=xl/ctrlProps/ctrlProp341.xml><?xml version="1.0" encoding="utf-8"?>
<formControlPr xmlns="http://schemas.microsoft.com/office/spreadsheetml/2009/9/main" objectType="Scroll" dx="15" fmlaLink="#REF!" max="255" page="10" val="0"/>
</file>

<file path=xl/ctrlProps/ctrlProp342.xml><?xml version="1.0" encoding="utf-8"?>
<formControlPr xmlns="http://schemas.microsoft.com/office/spreadsheetml/2009/9/main" objectType="Scroll" dx="15" fmlaLink="#REF!" max="255" page="10" val="0"/>
</file>

<file path=xl/ctrlProps/ctrlProp343.xml><?xml version="1.0" encoding="utf-8"?>
<formControlPr xmlns="http://schemas.microsoft.com/office/spreadsheetml/2009/9/main" objectType="Scroll" dx="15" fmlaLink="#REF!" max="255" page="10" val="0"/>
</file>

<file path=xl/ctrlProps/ctrlProp344.xml><?xml version="1.0" encoding="utf-8"?>
<formControlPr xmlns="http://schemas.microsoft.com/office/spreadsheetml/2009/9/main" objectType="Scroll" dx="15" fmlaLink="#REF!" horiz="1" max="255" page="10" val="0"/>
</file>

<file path=xl/ctrlProps/ctrlProp345.xml><?xml version="1.0" encoding="utf-8"?>
<formControlPr xmlns="http://schemas.microsoft.com/office/spreadsheetml/2009/9/main" objectType="Scroll" dx="15" fmlaLink="#REF!" horiz="1" max="255" page="10" val="0"/>
</file>

<file path=xl/ctrlProps/ctrlProp346.xml><?xml version="1.0" encoding="utf-8"?>
<formControlPr xmlns="http://schemas.microsoft.com/office/spreadsheetml/2009/9/main" objectType="Scroll" dx="15" fmlaLink="#REF!" horiz="1" max="255" page="10" val="0"/>
</file>

<file path=xl/ctrlProps/ctrlProp347.xml><?xml version="1.0" encoding="utf-8"?>
<formControlPr xmlns="http://schemas.microsoft.com/office/spreadsheetml/2009/9/main" objectType="Scroll" dx="15" fmlaLink="#REF!" horiz="1" max="255" page="10" val="0"/>
</file>

<file path=xl/ctrlProps/ctrlProp348.xml><?xml version="1.0" encoding="utf-8"?>
<formControlPr xmlns="http://schemas.microsoft.com/office/spreadsheetml/2009/9/main" objectType="Scroll" dx="15" fmlaLink="#REF!" horiz="1" max="255" page="10" val="0"/>
</file>

<file path=xl/ctrlProps/ctrlProp349.xml><?xml version="1.0" encoding="utf-8"?>
<formControlPr xmlns="http://schemas.microsoft.com/office/spreadsheetml/2009/9/main" objectType="Scroll" dx="15" fmlaLink="#REF!" max="255" page="10" val="0"/>
</file>

<file path=xl/ctrlProps/ctrlProp350.xml><?xml version="1.0" encoding="utf-8"?>
<formControlPr xmlns="http://schemas.microsoft.com/office/spreadsheetml/2009/9/main" objectType="Scroll" dx="15" fmlaLink="#REF!" max="255" page="10" val="0"/>
</file>

<file path=xl/ctrlProps/ctrlProp351.xml><?xml version="1.0" encoding="utf-8"?>
<formControlPr xmlns="http://schemas.microsoft.com/office/spreadsheetml/2009/9/main" objectType="Scroll" dx="15" fmlaLink="#REF!" max="255" page="10" val="0"/>
</file>

<file path=xl/ctrlProps/ctrlProp352.xml><?xml version="1.0" encoding="utf-8"?>
<formControlPr xmlns="http://schemas.microsoft.com/office/spreadsheetml/2009/9/main" objectType="Scroll" dx="15" fmlaLink="#REF!" max="255" page="10" val="0"/>
</file>

<file path=xl/ctrlProps/ctrlProp353.xml><?xml version="1.0" encoding="utf-8"?>
<formControlPr xmlns="http://schemas.microsoft.com/office/spreadsheetml/2009/9/main" objectType="Scroll" dx="15" fmlaLink="#REF!" max="255" page="10" val="0"/>
</file>

<file path=xl/ctrlProps/ctrlProp354.xml><?xml version="1.0" encoding="utf-8"?>
<formControlPr xmlns="http://schemas.microsoft.com/office/spreadsheetml/2009/9/main" objectType="Scroll" dx="15" fmlaLink="#REF!" max="255" page="10" val="0"/>
</file>

<file path=xl/ctrlProps/ctrlProp355.xml><?xml version="1.0" encoding="utf-8"?>
<formControlPr xmlns="http://schemas.microsoft.com/office/spreadsheetml/2009/9/main" objectType="Scroll" dx="15" fmlaLink="#REF!" max="255" page="10" val="0"/>
</file>

<file path=xl/ctrlProps/ctrlProp356.xml><?xml version="1.0" encoding="utf-8"?>
<formControlPr xmlns="http://schemas.microsoft.com/office/spreadsheetml/2009/9/main" objectType="Scroll" dx="15" fmlaLink="#REF!" max="255" page="10" val="0"/>
</file>

<file path=xl/ctrlProps/ctrlProp357.xml><?xml version="1.0" encoding="utf-8"?>
<formControlPr xmlns="http://schemas.microsoft.com/office/spreadsheetml/2009/9/main" objectType="Scroll" dx="15" fmlaLink="#REF!" max="255" page="10" val="0"/>
</file>

<file path=xl/ctrlProps/ctrlProp358.xml><?xml version="1.0" encoding="utf-8"?>
<formControlPr xmlns="http://schemas.microsoft.com/office/spreadsheetml/2009/9/main" objectType="Scroll" dx="15" fmlaLink="#REF!" max="255" page="10" val="0"/>
</file>

<file path=xl/ctrlProps/ctrlProp359.xml><?xml version="1.0" encoding="utf-8"?>
<formControlPr xmlns="http://schemas.microsoft.com/office/spreadsheetml/2009/9/main" objectType="Scroll" dx="15" fmlaLink="#REF!" max="255" page="10" val="0"/>
</file>

<file path=xl/ctrlProps/ctrlProp360.xml><?xml version="1.0" encoding="utf-8"?>
<formControlPr xmlns="http://schemas.microsoft.com/office/spreadsheetml/2009/9/main" objectType="Scroll" dx="15" fmlaLink="#REF!" max="255" page="10" val="0"/>
</file>

<file path=xl/ctrlProps/ctrlProp361.xml><?xml version="1.0" encoding="utf-8"?>
<formControlPr xmlns="http://schemas.microsoft.com/office/spreadsheetml/2009/9/main" objectType="Scroll" dx="15" fmlaLink="#REF!" max="255" page="10" val="0"/>
</file>

<file path=xl/ctrlProps/ctrlProp362.xml><?xml version="1.0" encoding="utf-8"?>
<formControlPr xmlns="http://schemas.microsoft.com/office/spreadsheetml/2009/9/main" objectType="Scroll" dx="15" fmlaLink="#REF!" max="255" page="10" val="0"/>
</file>

<file path=xl/ctrlProps/ctrlProp363.xml><?xml version="1.0" encoding="utf-8"?>
<formControlPr xmlns="http://schemas.microsoft.com/office/spreadsheetml/2009/9/main" objectType="Scroll" dx="15" fmlaLink="#REF!" max="255" page="10" val="0"/>
</file>

<file path=xl/ctrlProps/ctrlProp364.xml><?xml version="1.0" encoding="utf-8"?>
<formControlPr xmlns="http://schemas.microsoft.com/office/spreadsheetml/2009/9/main" objectType="Scroll" dx="15" fmlaLink="$S$52" horiz="1" max="30000" page="10" val="8"/>
</file>

<file path=xl/ctrlProps/ctrlProp365.xml><?xml version="1.0" encoding="utf-8"?>
<formControlPr xmlns="http://schemas.microsoft.com/office/spreadsheetml/2009/9/main" objectType="Scroll" dx="15" fmlaLink="$S$53" horiz="1" max="30000" page="10" val="16"/>
</file>

<file path=xl/ctrlProps/ctrlProp366.xml><?xml version="1.0" encoding="utf-8"?>
<formControlPr xmlns="http://schemas.microsoft.com/office/spreadsheetml/2009/9/main" objectType="Scroll" dx="15" fmlaLink="$S$54" horiz="1" max="30000" page="10" val="32"/>
</file>

<file path=xl/ctrlProps/ctrlProp367.xml><?xml version="1.0" encoding="utf-8"?>
<formControlPr xmlns="http://schemas.microsoft.com/office/spreadsheetml/2009/9/main" objectType="Scroll" dx="15" fmlaLink="$S$55" horiz="1" max="30000" page="10" val="64"/>
</file>

<file path=xl/ctrlProps/ctrlProp368.xml><?xml version="1.0" encoding="utf-8"?>
<formControlPr xmlns="http://schemas.microsoft.com/office/spreadsheetml/2009/9/main" objectType="Scroll" dx="15" fmlaLink="$S$56" horiz="1" max="30000" page="10" val="128"/>
</file>

<file path=xl/ctrlProps/ctrlProp369.xml><?xml version="1.0" encoding="utf-8"?>
<formControlPr xmlns="http://schemas.microsoft.com/office/spreadsheetml/2009/9/main" objectType="Scroll" dx="15" fmlaLink="$S$57" horiz="1" max="30000" page="10" val="256"/>
</file>

<file path=xl/ctrlProps/ctrlProp370.xml><?xml version="1.0" encoding="utf-8"?>
<formControlPr xmlns="http://schemas.microsoft.com/office/spreadsheetml/2009/9/main" objectType="Scroll" dx="15" fmlaLink="$S$58" horiz="1" max="30000" page="10" val="512"/>
</file>

<file path=xl/ctrlProps/ctrlProp371.xml><?xml version="1.0" encoding="utf-8"?>
<formControlPr xmlns="http://schemas.microsoft.com/office/spreadsheetml/2009/9/main" objectType="Scroll" dx="15" fmlaLink="$S$59" horiz="1" max="30000" page="10" val="1024"/>
</file>

<file path=xl/ctrlProps/ctrlProp372.xml><?xml version="1.0" encoding="utf-8"?>
<formControlPr xmlns="http://schemas.microsoft.com/office/spreadsheetml/2009/9/main" objectType="Scroll" dx="15" fmlaLink="$S$60" horiz="1" max="30000" page="10" val="2048"/>
</file>

<file path=xl/ctrlProps/ctrlProp373.xml><?xml version="1.0" encoding="utf-8"?>
<formControlPr xmlns="http://schemas.microsoft.com/office/spreadsheetml/2009/9/main" objectType="Scroll" dx="15" fmlaLink="$S$61" horiz="1" max="30000" page="10" val="21"/>
</file>

<file path=xl/ctrlProps/ctrlProp374.xml><?xml version="1.0" encoding="utf-8"?>
<formControlPr xmlns="http://schemas.microsoft.com/office/spreadsheetml/2009/9/main" objectType="Scroll" dx="15" fmlaLink="$S$62" horiz="1" max="30000" page="10" val="85"/>
</file>

<file path=xl/ctrlProps/ctrlProp375.xml><?xml version="1.0" encoding="utf-8"?>
<formControlPr xmlns="http://schemas.microsoft.com/office/spreadsheetml/2009/9/main" objectType="Scroll" dx="15" fmlaLink="$S$63" horiz="1" max="30000" page="10" val="128"/>
</file>

<file path=xl/ctrlProps/ctrlProp376.xml><?xml version="1.0" encoding="utf-8"?>
<formControlPr xmlns="http://schemas.microsoft.com/office/spreadsheetml/2009/9/main" objectType="Scroll" dx="15" fmlaLink="$S$64" horiz="1" max="30000" page="10" val="3"/>
</file>

<file path=xl/ctrlProps/ctrlProp377.xml><?xml version="1.0" encoding="utf-8"?>
<formControlPr xmlns="http://schemas.microsoft.com/office/spreadsheetml/2009/9/main" objectType="Scroll" dx="15" fmlaLink="$S$65" horiz="1" max="30000" page="10" val="10"/>
</file>

<file path=xl/ctrlProps/ctrlProp378.xml><?xml version="1.0" encoding="utf-8"?>
<formControlPr xmlns="http://schemas.microsoft.com/office/spreadsheetml/2009/9/main" objectType="Scroll" dx="15" fmlaLink="$S$66" horiz="1" max="30000" page="10" val="0"/>
</file>

<file path=xl/ctrlProps/ctrlProp379.xml><?xml version="1.0" encoding="utf-8"?>
<formControlPr xmlns="http://schemas.microsoft.com/office/spreadsheetml/2009/9/main" objectType="Scroll" dx="15" fmlaLink="$S$67" horiz="1" max="30000" page="10"/>
</file>

<file path=xl/ctrlProps/ctrlProp380.xml><?xml version="1.0" encoding="utf-8"?>
<formControlPr xmlns="http://schemas.microsoft.com/office/spreadsheetml/2009/9/main" objectType="Scroll" dx="15" fmlaLink="$S$70" horiz="1" max="30000" page="10"/>
</file>

<file path=xl/ctrlProps/ctrlProp381.xml><?xml version="1.0" encoding="utf-8"?>
<formControlPr xmlns="http://schemas.microsoft.com/office/spreadsheetml/2009/9/main" objectType="Scroll" dx="15" fmlaLink="$S$51" horiz="1" max="30000" page="10" val="4"/>
</file>

<file path=xl/ctrlProps/ctrlProp382.xml><?xml version="1.0" encoding="utf-8"?>
<formControlPr xmlns="http://schemas.microsoft.com/office/spreadsheetml/2009/9/main" objectType="Scroll" dx="15" fmlaLink="$S$71" horiz="1" max="30000" page="10" val="9"/>
</file>

<file path=xl/ctrlProps/ctrlProp383.xml><?xml version="1.0" encoding="utf-8"?>
<formControlPr xmlns="http://schemas.microsoft.com/office/spreadsheetml/2009/9/main" objectType="Scroll" dx="15" fmlaLink="$S$95" horiz="1" max="2500" page="10" val="570"/>
</file>

<file path=xl/ctrlProps/ctrlProp384.xml><?xml version="1.0" encoding="utf-8"?>
<formControlPr xmlns="http://schemas.microsoft.com/office/spreadsheetml/2009/9/main" objectType="Scroll" dx="15" fmlaLink="$S$96" horiz="1" max="2500" page="10" val="570"/>
</file>

<file path=xl/ctrlProps/ctrlProp385.xml><?xml version="1.0" encoding="utf-8"?>
<formControlPr xmlns="http://schemas.microsoft.com/office/spreadsheetml/2009/9/main" objectType="Scroll" dx="15" fmlaLink="$S$97" horiz="1" max="2500" page="10" val="570"/>
</file>

<file path=xl/ctrlProps/ctrlProp386.xml><?xml version="1.0" encoding="utf-8"?>
<formControlPr xmlns="http://schemas.microsoft.com/office/spreadsheetml/2009/9/main" objectType="Scroll" dx="15" fmlaLink="$S$98" horiz="1" max="2500" page="10" val="570"/>
</file>

<file path=xl/ctrlProps/ctrlProp387.xml><?xml version="1.0" encoding="utf-8"?>
<formControlPr xmlns="http://schemas.microsoft.com/office/spreadsheetml/2009/9/main" objectType="Scroll" dx="15" fmlaLink="$S$99" horiz="1" max="2500" page="10" val="570"/>
</file>

<file path=xl/ctrlProps/ctrlProp388.xml><?xml version="1.0" encoding="utf-8"?>
<formControlPr xmlns="http://schemas.microsoft.com/office/spreadsheetml/2009/9/main" objectType="Scroll" dx="15" fmlaLink="$S$100" horiz="1" max="2500" page="10" val="570"/>
</file>

<file path=xl/ctrlProps/ctrlProp389.xml><?xml version="1.0" encoding="utf-8"?>
<formControlPr xmlns="http://schemas.microsoft.com/office/spreadsheetml/2009/9/main" objectType="Scroll" dx="15" fmlaLink="$S$110" horiz="1" max="2500" page="10" val="640"/>
</file>

<file path=xl/ctrlProps/ctrlProp390.xml><?xml version="1.0" encoding="utf-8"?>
<formControlPr xmlns="http://schemas.microsoft.com/office/spreadsheetml/2009/9/main" objectType="Scroll" dx="15" fmlaLink="$S$111" horiz="1" max="2500" page="10" val="640"/>
</file>

<file path=xl/ctrlProps/ctrlProp391.xml><?xml version="1.0" encoding="utf-8"?>
<formControlPr xmlns="http://schemas.microsoft.com/office/spreadsheetml/2009/9/main" objectType="Scroll" dx="15" fmlaLink="$S$112" horiz="1" max="2500" page="10" val="640"/>
</file>

<file path=xl/ctrlProps/ctrlProp392.xml><?xml version="1.0" encoding="utf-8"?>
<formControlPr xmlns="http://schemas.microsoft.com/office/spreadsheetml/2009/9/main" objectType="Scroll" dx="15" fmlaLink="$S$113" horiz="1" max="2500" page="10" val="640"/>
</file>

<file path=xl/ctrlProps/ctrlProp393.xml><?xml version="1.0" encoding="utf-8"?>
<formControlPr xmlns="http://schemas.microsoft.com/office/spreadsheetml/2009/9/main" objectType="Scroll" dx="15" fmlaLink="$S$114" horiz="1" max="2500" page="10" val="640"/>
</file>

<file path=xl/ctrlProps/ctrlProp394.xml><?xml version="1.0" encoding="utf-8"?>
<formControlPr xmlns="http://schemas.microsoft.com/office/spreadsheetml/2009/9/main" objectType="Scroll" dx="15" fmlaLink="$S$115" horiz="1" max="2500" page="10" val="640"/>
</file>

<file path=xl/ctrlProps/ctrlProp395.xml><?xml version="1.0" encoding="utf-8"?>
<formControlPr xmlns="http://schemas.microsoft.com/office/spreadsheetml/2009/9/main" objectType="Scroll" dx="15" fmlaLink="$S$68" horiz="1" max="30000" page="10" val="2"/>
</file>

<file path=xl/ctrlProps/ctrlProp396.xml><?xml version="1.0" encoding="utf-8"?>
<formControlPr xmlns="http://schemas.microsoft.com/office/spreadsheetml/2009/9/main" objectType="Scroll" dx="15" fmlaLink="$S$69" horiz="1" max="30000" page="10" val="3"/>
</file>

<file path=xl/ctrlProps/ctrlProp397.xml><?xml version="1.0" encoding="utf-8"?>
<formControlPr xmlns="http://schemas.microsoft.com/office/spreadsheetml/2009/9/main" objectType="Scroll" dx="15" fmlaLink="$S$70" horiz="1" max="30000" page="10"/>
</file>

<file path=xl/ctrlProps/ctrlProp398.xml><?xml version="1.0" encoding="utf-8"?>
<formControlPr xmlns="http://schemas.microsoft.com/office/spreadsheetml/2009/9/main" objectType="Scroll" dx="15" fmlaLink="$S$72" horiz="1" max="30000" page="10" val="20"/>
</file>

<file path=xl/ctrlProps/ctrlProp399.xml><?xml version="1.0" encoding="utf-8"?>
<formControlPr xmlns="http://schemas.microsoft.com/office/spreadsheetml/2009/9/main" objectType="Scroll" dx="15" fmlaLink="$R$144" horiz="1" max="1200" page="10" val="800"/>
</file>

<file path=xl/ctrlProps/ctrlProp400.xml><?xml version="1.0" encoding="utf-8"?>
<formControlPr xmlns="http://schemas.microsoft.com/office/spreadsheetml/2009/9/main" objectType="Scroll" dx="15" fmlaLink="$S$125" horiz="1" max="2500" page="10" val="650"/>
</file>

<file path=xl/ctrlProps/ctrlProp401.xml><?xml version="1.0" encoding="utf-8"?>
<formControlPr xmlns="http://schemas.microsoft.com/office/spreadsheetml/2009/9/main" objectType="Scroll" dx="15" fmlaLink="$S$126" horiz="1" max="2500" page="10" val="650"/>
</file>

<file path=xl/ctrlProps/ctrlProp402.xml><?xml version="1.0" encoding="utf-8"?>
<formControlPr xmlns="http://schemas.microsoft.com/office/spreadsheetml/2009/9/main" objectType="Scroll" dx="15" fmlaLink="$S$127" horiz="1" max="2500" page="10" val="650"/>
</file>

<file path=xl/ctrlProps/ctrlProp403.xml><?xml version="1.0" encoding="utf-8"?>
<formControlPr xmlns="http://schemas.microsoft.com/office/spreadsheetml/2009/9/main" objectType="Scroll" dx="15" fmlaLink="$S$128" horiz="1" max="2500" page="10" val="650"/>
</file>

<file path=xl/ctrlProps/ctrlProp404.xml><?xml version="1.0" encoding="utf-8"?>
<formControlPr xmlns="http://schemas.microsoft.com/office/spreadsheetml/2009/9/main" objectType="Scroll" dx="15" fmlaLink="$S$129" horiz="1" max="2500" page="10" val="650"/>
</file>

<file path=xl/ctrlProps/ctrlProp405.xml><?xml version="1.0" encoding="utf-8"?>
<formControlPr xmlns="http://schemas.microsoft.com/office/spreadsheetml/2009/9/main" objectType="Scroll" dx="15" fmlaLink="$S$130" horiz="1" max="2500" page="10" val="650"/>
</file>

<file path=xl/ctrlProps/ctrlProp406.xml><?xml version="1.0" encoding="utf-8"?>
<formControlPr xmlns="http://schemas.microsoft.com/office/spreadsheetml/2009/9/main" objectType="Scroll" dx="15" fmlaLink="$R$171" horiz="1" max="1200" page="10" val="200"/>
</file>

<file path=xl/ctrlProps/ctrlProp407.xml><?xml version="1.0" encoding="utf-8"?>
<formControlPr xmlns="http://schemas.microsoft.com/office/spreadsheetml/2009/9/main" objectType="Scroll" dx="15" fmlaLink="$R$172" horiz="1" max="1200" page="10" val="300"/>
</file>

<file path=xl/ctrlProps/ctrlProp408.xml><?xml version="1.0" encoding="utf-8"?>
<formControlPr xmlns="http://schemas.microsoft.com/office/spreadsheetml/2009/9/main" objectType="Scroll" dx="15" fmlaLink="$R$173" horiz="1" max="1200" page="10" val="400"/>
</file>

<file path=xl/ctrlProps/ctrlProp409.xml><?xml version="1.0" encoding="utf-8"?>
<formControlPr xmlns="http://schemas.microsoft.com/office/spreadsheetml/2009/9/main" objectType="Scroll" dx="15" fmlaLink="$R$174" horiz="1" max="1200" page="10" val="500"/>
</file>

<file path=xl/ctrlProps/ctrlProp410.xml><?xml version="1.0" encoding="utf-8"?>
<formControlPr xmlns="http://schemas.microsoft.com/office/spreadsheetml/2009/9/main" objectType="Scroll" dx="15" fmlaLink="$R$175" horiz="1" max="1200" page="10" val="600"/>
</file>

<file path=xl/ctrlProps/ctrlProp411.xml><?xml version="1.0" encoding="utf-8"?>
<formControlPr xmlns="http://schemas.microsoft.com/office/spreadsheetml/2009/9/main" objectType="Scroll" dx="15" fmlaLink="$R$176" horiz="1" max="1200" page="10" val="700"/>
</file>

<file path=xl/ctrlProps/ctrlProp412.xml><?xml version="1.0" encoding="utf-8"?>
<formControlPr xmlns="http://schemas.microsoft.com/office/spreadsheetml/2009/9/main" objectType="Scroll" dx="15" fmlaLink="$R$177" horiz="1" max="1200" page="10" val="800"/>
</file>

<file path=xl/ctrlProps/ctrlProp413.xml><?xml version="1.0" encoding="utf-8"?>
<formControlPr xmlns="http://schemas.microsoft.com/office/spreadsheetml/2009/9/main" objectType="Scroll" dx="15" fmlaLink="$S$171" horiz="1" max="1000" page="10" val="256"/>
</file>

<file path=xl/ctrlProps/ctrlProp414.xml><?xml version="1.0" encoding="utf-8"?>
<formControlPr xmlns="http://schemas.microsoft.com/office/spreadsheetml/2009/9/main" objectType="Scroll" dx="15" fmlaLink="$S$172" horiz="1" max="1000" page="10" val="434"/>
</file>

<file path=xl/ctrlProps/ctrlProp415.xml><?xml version="1.0" encoding="utf-8"?>
<formControlPr xmlns="http://schemas.microsoft.com/office/spreadsheetml/2009/9/main" objectType="Scroll" dx="15" fmlaLink="$S$173" horiz="1" max="1000" page="10" val="588"/>
</file>

<file path=xl/ctrlProps/ctrlProp416.xml><?xml version="1.0" encoding="utf-8"?>
<formControlPr xmlns="http://schemas.microsoft.com/office/spreadsheetml/2009/9/main" objectType="Scroll" dx="15" fmlaLink="$S$174" horiz="1" max="1000" page="10" val="808"/>
</file>

<file path=xl/ctrlProps/ctrlProp417.xml><?xml version="1.0" encoding="utf-8"?>
<formControlPr xmlns="http://schemas.microsoft.com/office/spreadsheetml/2009/9/main" objectType="Scroll" dx="15" fmlaLink="$S$175" horiz="1" max="1000" page="10" val="685"/>
</file>

<file path=xl/ctrlProps/ctrlProp418.xml><?xml version="1.0" encoding="utf-8"?>
<formControlPr xmlns="http://schemas.microsoft.com/office/spreadsheetml/2009/9/main" objectType="Scroll" dx="15" fmlaLink="$S$176" horiz="1" max="1000" page="10" val="553"/>
</file>

<file path=xl/ctrlProps/ctrlProp419.xml><?xml version="1.0" encoding="utf-8"?>
<formControlPr xmlns="http://schemas.microsoft.com/office/spreadsheetml/2009/9/main" objectType="Scroll" dx="15" fmlaLink="$S$177" horiz="1" max="1000" page="10" val="339"/>
</file>

<file path=xl/ctrlProps/ctrlProp420.xml><?xml version="1.0" encoding="utf-8"?>
<formControlPr xmlns="http://schemas.microsoft.com/office/spreadsheetml/2009/9/main" objectType="Scroll" dx="15" fmlaLink="$R$86" horiz="1" max="1200" page="10" val="6"/>
</file>

<file path=xl/ctrlProps/ctrlProp421.xml><?xml version="1.0" encoding="utf-8"?>
<formControlPr xmlns="http://schemas.microsoft.com/office/spreadsheetml/2009/9/main" objectType="Scroll" dx="15" fmlaLink="$S$86" horiz="1" max="2500" page="10" val="540"/>
</file>

<file path=xl/ctrlProps/ctrlProp422.xml><?xml version="1.0" encoding="utf-8"?>
<formControlPr xmlns="http://schemas.microsoft.com/office/spreadsheetml/2009/9/main" objectType="Scroll" dx="15" fmlaLink="$S$101" horiz="1" max="2500" page="10" val="570"/>
</file>

<file path=xl/ctrlProps/ctrlProp423.xml><?xml version="1.0" encoding="utf-8"?>
<formControlPr xmlns="http://schemas.microsoft.com/office/spreadsheetml/2009/9/main" objectType="Scroll" dx="15" fmlaLink="$S$116" horiz="1" max="2500" page="10" val="640"/>
</file>

<file path=xl/ctrlProps/ctrlProp424.xml><?xml version="1.0" encoding="utf-8"?>
<formControlPr xmlns="http://schemas.microsoft.com/office/spreadsheetml/2009/9/main" objectType="Scroll" dx="15" fmlaLink="$S$131" horiz="1" max="2500" page="10" val="650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2</xdr:row>
          <xdr:rowOff>9525</xdr:rowOff>
        </xdr:from>
        <xdr:to>
          <xdr:col>8</xdr:col>
          <xdr:colOff>923925</xdr:colOff>
          <xdr:row>9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2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Generate Output …</a:t>
              </a:r>
            </a:p>
            <a:p>
              <a:pPr algn="ctr" rtl="0">
                <a:defRPr sz="1000"/>
              </a:pPr>
              <a:r>
                <a:rPr lang="zh-CN" altLang="en-US" sz="2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(SW Development)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1076325</xdr:colOff>
          <xdr:row>2</xdr:row>
          <xdr:rowOff>9525</xdr:rowOff>
        </xdr:from>
        <xdr:to>
          <xdr:col>8</xdr:col>
          <xdr:colOff>3200400</xdr:colOff>
          <xdr:row>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2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Just the hex …</a:t>
              </a:r>
            </a:p>
            <a:p>
              <a:pPr algn="ctr" rtl="0">
                <a:defRPr sz="1000"/>
              </a:pPr>
              <a:r>
                <a:rPr lang="zh-CN" altLang="en-US" sz="2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(System Tuning)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0</xdr:row>
          <xdr:rowOff>0</xdr:rowOff>
        </xdr:from>
        <xdr:to>
          <xdr:col>2</xdr:col>
          <xdr:colOff>1295400</xdr:colOff>
          <xdr:row>0</xdr:row>
          <xdr:rowOff>0</xdr:rowOff>
        </xdr:to>
        <xdr:grpSp>
          <xdr:nvGrpSpPr>
            <xdr:cNvPr id="2082760" name="Group 1"/>
            <xdr:cNvGrpSpPr>
              <a:grpSpLocks/>
            </xdr:cNvGrpSpPr>
          </xdr:nvGrpSpPr>
          <xdr:grpSpPr bwMode="auto">
            <a:xfrm>
              <a:off x="2177303" y="0"/>
              <a:ext cx="1123950" cy="0"/>
              <a:chOff x="129" y="0"/>
              <a:chExt cx="2739222" cy="0"/>
            </a:xfrm>
          </xdr:grpSpPr>
          <xdr:sp macro="" textlink="">
            <xdr:nvSpPr>
              <xdr:cNvPr id="1026" name="Scroll Bar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027" name="Scroll Bar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028" name="Scroll Bar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029" name="Scroll Bar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030" name="Scroll Bar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031" name="Scroll Bar 7" hidden="1">
                <a:extLst>
                  <a:ext uri="{63B3BB69-23CF-44E3-9099-C40C66FF867C}">
                    <a14:compatExt spid="_x0000_s1031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032" name="Scroll Bar 8" hidden="1">
                <a:extLst>
                  <a:ext uri="{63B3BB69-23CF-44E3-9099-C40C66FF867C}">
                    <a14:compatExt spid="_x0000_s1032"/>
                  </a:ext>
                </a:extLst>
              </xdr:cNvPr>
              <xdr:cNvSpPr/>
            </xdr:nvSpPr>
            <xdr:spPr>
              <a:xfrm>
                <a:off x="129" y="0"/>
                <a:ext cx="144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133350</xdr:colOff>
          <xdr:row>0</xdr:row>
          <xdr:rowOff>0</xdr:rowOff>
        </xdr:from>
        <xdr:to>
          <xdr:col>5</xdr:col>
          <xdr:colOff>1314450</xdr:colOff>
          <xdr:row>0</xdr:row>
          <xdr:rowOff>0</xdr:rowOff>
        </xdr:to>
        <xdr:grpSp>
          <xdr:nvGrpSpPr>
            <xdr:cNvPr id="2082761" name="Group 9"/>
            <xdr:cNvGrpSpPr>
              <a:grpSpLocks/>
            </xdr:cNvGrpSpPr>
          </xdr:nvGrpSpPr>
          <xdr:grpSpPr bwMode="auto">
            <a:xfrm>
              <a:off x="5512174" y="0"/>
              <a:ext cx="1181100" cy="0"/>
              <a:chOff x="389" y="0"/>
              <a:chExt cx="6102408" cy="0"/>
            </a:xfrm>
          </xdr:grpSpPr>
          <xdr:sp macro="" textlink="">
            <xdr:nvSpPr>
              <xdr:cNvPr id="1034" name="Scroll Bar 10" hidden="1">
                <a:extLst>
                  <a:ext uri="{63B3BB69-23CF-44E3-9099-C40C66FF867C}">
                    <a14:compatExt spid="_x0000_s1034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035" name="Scroll Bar 11" hidden="1">
                <a:extLst>
                  <a:ext uri="{63B3BB69-23CF-44E3-9099-C40C66FF867C}">
                    <a14:compatExt spid="_x0000_s1035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036" name="Scroll Bar 12" hidden="1">
                <a:extLst>
                  <a:ext uri="{63B3BB69-23CF-44E3-9099-C40C66FF867C}">
                    <a14:compatExt spid="_x0000_s1036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037" name="Scroll Bar 13" hidden="1">
                <a:extLst>
                  <a:ext uri="{63B3BB69-23CF-44E3-9099-C40C66FF867C}">
                    <a14:compatExt spid="_x0000_s1037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038" name="Scroll Bar 14" hidden="1">
                <a:extLst>
                  <a:ext uri="{63B3BB69-23CF-44E3-9099-C40C66FF867C}">
                    <a14:compatExt spid="_x0000_s1038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039" name="Scroll Bar 15" hidden="1">
                <a:extLst>
                  <a:ext uri="{63B3BB69-23CF-44E3-9099-C40C66FF867C}">
                    <a14:compatExt spid="_x0000_s1039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040" name="Scroll Bar 16" hidden="1">
                <a:extLst>
                  <a:ext uri="{63B3BB69-23CF-44E3-9099-C40C66FF867C}">
                    <a14:compatExt spid="_x0000_s1040"/>
                  </a:ext>
                </a:extLst>
              </xdr:cNvPr>
              <xdr:cNvSpPr/>
            </xdr:nvSpPr>
            <xdr:spPr>
              <a:xfrm>
                <a:off x="389" y="0"/>
                <a:ext cx="145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0</xdr:row>
          <xdr:rowOff>0</xdr:rowOff>
        </xdr:from>
        <xdr:to>
          <xdr:col>2</xdr:col>
          <xdr:colOff>1295400</xdr:colOff>
          <xdr:row>0</xdr:row>
          <xdr:rowOff>0</xdr:rowOff>
        </xdr:to>
        <xdr:grpSp>
          <xdr:nvGrpSpPr>
            <xdr:cNvPr id="2082762" name="Group 18"/>
            <xdr:cNvGrpSpPr>
              <a:grpSpLocks/>
            </xdr:cNvGrpSpPr>
          </xdr:nvGrpSpPr>
          <xdr:grpSpPr bwMode="auto">
            <a:xfrm>
              <a:off x="2177303" y="0"/>
              <a:ext cx="1123950" cy="0"/>
              <a:chOff x="221" y="0"/>
              <a:chExt cx="2739129" cy="0"/>
            </a:xfrm>
          </xdr:grpSpPr>
          <xdr:sp macro="" textlink="">
            <xdr:nvSpPr>
              <xdr:cNvPr id="1043" name="Scroll Bar 19" hidden="1">
                <a:extLst>
                  <a:ext uri="{63B3BB69-23CF-44E3-9099-C40C66FF867C}">
                    <a14:compatExt spid="_x0000_s1043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044" name="Scroll Bar 20" hidden="1">
                <a:extLst>
                  <a:ext uri="{63B3BB69-23CF-44E3-9099-C40C66FF867C}">
                    <a14:compatExt spid="_x0000_s1044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045" name="Scroll Bar 21" hidden="1">
                <a:extLst>
                  <a:ext uri="{63B3BB69-23CF-44E3-9099-C40C66FF867C}">
                    <a14:compatExt spid="_x0000_s1045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046" name="Scroll Bar 22" hidden="1">
                <a:extLst>
                  <a:ext uri="{63B3BB69-23CF-44E3-9099-C40C66FF867C}">
                    <a14:compatExt spid="_x0000_s1046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047" name="Scroll Bar 23" hidden="1">
                <a:extLst>
                  <a:ext uri="{63B3BB69-23CF-44E3-9099-C40C66FF867C}">
                    <a14:compatExt spid="_x0000_s1047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048" name="Scroll Bar 24" hidden="1">
                <a:extLst>
                  <a:ext uri="{63B3BB69-23CF-44E3-9099-C40C66FF867C}">
                    <a14:compatExt spid="_x0000_s1048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049" name="Scroll Bar 25" hidden="1">
                <a:extLst>
                  <a:ext uri="{63B3BB69-23CF-44E3-9099-C40C66FF867C}">
                    <a14:compatExt spid="_x0000_s1049"/>
                  </a:ext>
                </a:extLst>
              </xdr:cNvPr>
              <xdr:cNvSpPr/>
            </xdr:nvSpPr>
            <xdr:spPr>
              <a:xfrm>
                <a:off x="221" y="0"/>
                <a:ext cx="144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133350</xdr:colOff>
          <xdr:row>0</xdr:row>
          <xdr:rowOff>0</xdr:rowOff>
        </xdr:from>
        <xdr:to>
          <xdr:col>5</xdr:col>
          <xdr:colOff>1314450</xdr:colOff>
          <xdr:row>0</xdr:row>
          <xdr:rowOff>0</xdr:rowOff>
        </xdr:to>
        <xdr:grpSp>
          <xdr:nvGrpSpPr>
            <xdr:cNvPr id="2082763" name="Group 26"/>
            <xdr:cNvGrpSpPr>
              <a:grpSpLocks/>
            </xdr:cNvGrpSpPr>
          </xdr:nvGrpSpPr>
          <xdr:grpSpPr bwMode="auto">
            <a:xfrm>
              <a:off x="5512174" y="0"/>
              <a:ext cx="1181100" cy="0"/>
              <a:chOff x="399" y="0"/>
              <a:chExt cx="6102398" cy="0"/>
            </a:xfrm>
          </xdr:grpSpPr>
          <xdr:sp macro="" textlink="">
            <xdr:nvSpPr>
              <xdr:cNvPr id="1051" name="Scroll Bar 27" hidden="1">
                <a:extLst>
                  <a:ext uri="{63B3BB69-23CF-44E3-9099-C40C66FF867C}">
                    <a14:compatExt spid="_x0000_s1051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052" name="Scroll Bar 28" hidden="1">
                <a:extLst>
                  <a:ext uri="{63B3BB69-23CF-44E3-9099-C40C66FF867C}">
                    <a14:compatExt spid="_x0000_s1052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053" name="Scroll Bar 29" hidden="1">
                <a:extLst>
                  <a:ext uri="{63B3BB69-23CF-44E3-9099-C40C66FF867C}">
                    <a14:compatExt spid="_x0000_s1053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054" name="Scroll Bar 30" hidden="1">
                <a:extLst>
                  <a:ext uri="{63B3BB69-23CF-44E3-9099-C40C66FF867C}">
                    <a14:compatExt spid="_x0000_s1054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055" name="Scroll Bar 31" hidden="1">
                <a:extLst>
                  <a:ext uri="{63B3BB69-23CF-44E3-9099-C40C66FF867C}">
                    <a14:compatExt spid="_x0000_s1055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056" name="Scroll Bar 32" hidden="1">
                <a:extLst>
                  <a:ext uri="{63B3BB69-23CF-44E3-9099-C40C66FF867C}">
                    <a14:compatExt spid="_x0000_s1056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057" name="Scroll Bar 33" hidden="1">
                <a:extLst>
                  <a:ext uri="{63B3BB69-23CF-44E3-9099-C40C66FF867C}">
                    <a14:compatExt spid="_x0000_s1057"/>
                  </a:ext>
                </a:extLst>
              </xdr:cNvPr>
              <xdr:cNvSpPr/>
            </xdr:nvSpPr>
            <xdr:spPr>
              <a:xfrm>
                <a:off x="399" y="0"/>
                <a:ext cx="145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0</xdr:row>
          <xdr:rowOff>0</xdr:rowOff>
        </xdr:from>
        <xdr:to>
          <xdr:col>2</xdr:col>
          <xdr:colOff>1295400</xdr:colOff>
          <xdr:row>0</xdr:row>
          <xdr:rowOff>0</xdr:rowOff>
        </xdr:to>
        <xdr:grpSp>
          <xdr:nvGrpSpPr>
            <xdr:cNvPr id="2082764" name="Group 36"/>
            <xdr:cNvGrpSpPr>
              <a:grpSpLocks/>
            </xdr:cNvGrpSpPr>
          </xdr:nvGrpSpPr>
          <xdr:grpSpPr bwMode="auto">
            <a:xfrm>
              <a:off x="2177303" y="0"/>
              <a:ext cx="1123950" cy="0"/>
              <a:chOff x="221" y="0"/>
              <a:chExt cx="2739129" cy="0"/>
            </a:xfrm>
          </xdr:grpSpPr>
          <xdr:sp macro="" textlink="">
            <xdr:nvSpPr>
              <xdr:cNvPr id="1061" name="Scroll Bar 37" hidden="1">
                <a:extLst>
                  <a:ext uri="{63B3BB69-23CF-44E3-9099-C40C66FF867C}">
                    <a14:compatExt spid="_x0000_s1061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062" name="Scroll Bar 38" hidden="1">
                <a:extLst>
                  <a:ext uri="{63B3BB69-23CF-44E3-9099-C40C66FF867C}">
                    <a14:compatExt spid="_x0000_s1062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063" name="Scroll Bar 39" hidden="1">
                <a:extLst>
                  <a:ext uri="{63B3BB69-23CF-44E3-9099-C40C66FF867C}">
                    <a14:compatExt spid="_x0000_s1063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064" name="Scroll Bar 40" hidden="1">
                <a:extLst>
                  <a:ext uri="{63B3BB69-23CF-44E3-9099-C40C66FF867C}">
                    <a14:compatExt spid="_x0000_s1064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065" name="Scroll Bar 41" hidden="1">
                <a:extLst>
                  <a:ext uri="{63B3BB69-23CF-44E3-9099-C40C66FF867C}">
                    <a14:compatExt spid="_x0000_s1065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066" name="Scroll Bar 42" hidden="1">
                <a:extLst>
                  <a:ext uri="{63B3BB69-23CF-44E3-9099-C40C66FF867C}">
                    <a14:compatExt spid="_x0000_s1066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067" name="Scroll Bar 43" hidden="1">
                <a:extLst>
                  <a:ext uri="{63B3BB69-23CF-44E3-9099-C40C66FF867C}">
                    <a14:compatExt spid="_x0000_s1067"/>
                  </a:ext>
                </a:extLst>
              </xdr:cNvPr>
              <xdr:cNvSpPr/>
            </xdr:nvSpPr>
            <xdr:spPr>
              <a:xfrm>
                <a:off x="221" y="0"/>
                <a:ext cx="144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133350</xdr:colOff>
          <xdr:row>0</xdr:row>
          <xdr:rowOff>0</xdr:rowOff>
        </xdr:from>
        <xdr:to>
          <xdr:col>5</xdr:col>
          <xdr:colOff>1314450</xdr:colOff>
          <xdr:row>0</xdr:row>
          <xdr:rowOff>0</xdr:rowOff>
        </xdr:to>
        <xdr:grpSp>
          <xdr:nvGrpSpPr>
            <xdr:cNvPr id="2082765" name="Group 44"/>
            <xdr:cNvGrpSpPr>
              <a:grpSpLocks/>
            </xdr:cNvGrpSpPr>
          </xdr:nvGrpSpPr>
          <xdr:grpSpPr bwMode="auto">
            <a:xfrm>
              <a:off x="5512174" y="0"/>
              <a:ext cx="1181100" cy="0"/>
              <a:chOff x="399" y="0"/>
              <a:chExt cx="6102398" cy="0"/>
            </a:xfrm>
          </xdr:grpSpPr>
          <xdr:sp macro="" textlink="">
            <xdr:nvSpPr>
              <xdr:cNvPr id="1069" name="Scroll Bar 45" hidden="1">
                <a:extLst>
                  <a:ext uri="{63B3BB69-23CF-44E3-9099-C40C66FF867C}">
                    <a14:compatExt spid="_x0000_s1069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070" name="Scroll Bar 46" hidden="1">
                <a:extLst>
                  <a:ext uri="{63B3BB69-23CF-44E3-9099-C40C66FF867C}">
                    <a14:compatExt spid="_x0000_s1070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071" name="Scroll Bar 47" hidden="1">
                <a:extLst>
                  <a:ext uri="{63B3BB69-23CF-44E3-9099-C40C66FF867C}">
                    <a14:compatExt spid="_x0000_s1071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072" name="Scroll Bar 48" hidden="1">
                <a:extLst>
                  <a:ext uri="{63B3BB69-23CF-44E3-9099-C40C66FF867C}">
                    <a14:compatExt spid="_x0000_s1072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073" name="Scroll Bar 49" hidden="1">
                <a:extLst>
                  <a:ext uri="{63B3BB69-23CF-44E3-9099-C40C66FF867C}">
                    <a14:compatExt spid="_x0000_s1073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074" name="Scroll Bar 50" hidden="1">
                <a:extLst>
                  <a:ext uri="{63B3BB69-23CF-44E3-9099-C40C66FF867C}">
                    <a14:compatExt spid="_x0000_s1074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075" name="Scroll Bar 51" hidden="1">
                <a:extLst>
                  <a:ext uri="{63B3BB69-23CF-44E3-9099-C40C66FF867C}">
                    <a14:compatExt spid="_x0000_s1075"/>
                  </a:ext>
                </a:extLst>
              </xdr:cNvPr>
              <xdr:cNvSpPr/>
            </xdr:nvSpPr>
            <xdr:spPr>
              <a:xfrm>
                <a:off x="399" y="0"/>
                <a:ext cx="145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0</xdr:row>
          <xdr:rowOff>0</xdr:rowOff>
        </xdr:from>
        <xdr:to>
          <xdr:col>2</xdr:col>
          <xdr:colOff>1295400</xdr:colOff>
          <xdr:row>0</xdr:row>
          <xdr:rowOff>0</xdr:rowOff>
        </xdr:to>
        <xdr:grpSp>
          <xdr:nvGrpSpPr>
            <xdr:cNvPr id="2082766" name="Group 70"/>
            <xdr:cNvGrpSpPr>
              <a:grpSpLocks/>
            </xdr:cNvGrpSpPr>
          </xdr:nvGrpSpPr>
          <xdr:grpSpPr bwMode="auto">
            <a:xfrm>
              <a:off x="2177303" y="0"/>
              <a:ext cx="1123950" cy="0"/>
              <a:chOff x="221" y="0"/>
              <a:chExt cx="2739129" cy="0"/>
            </a:xfrm>
          </xdr:grpSpPr>
          <xdr:sp macro="" textlink="">
            <xdr:nvSpPr>
              <xdr:cNvPr id="1095" name="Scroll Bar 71" hidden="1">
                <a:extLst>
                  <a:ext uri="{63B3BB69-23CF-44E3-9099-C40C66FF867C}">
                    <a14:compatExt spid="_x0000_s1095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096" name="Scroll Bar 72" hidden="1">
                <a:extLst>
                  <a:ext uri="{63B3BB69-23CF-44E3-9099-C40C66FF867C}">
                    <a14:compatExt spid="_x0000_s1096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097" name="Scroll Bar 73" hidden="1">
                <a:extLst>
                  <a:ext uri="{63B3BB69-23CF-44E3-9099-C40C66FF867C}">
                    <a14:compatExt spid="_x0000_s1097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098" name="Scroll Bar 74" hidden="1">
                <a:extLst>
                  <a:ext uri="{63B3BB69-23CF-44E3-9099-C40C66FF867C}">
                    <a14:compatExt spid="_x0000_s1098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099" name="Scroll Bar 75" hidden="1">
                <a:extLst>
                  <a:ext uri="{63B3BB69-23CF-44E3-9099-C40C66FF867C}">
                    <a14:compatExt spid="_x0000_s1099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100" name="Scroll Bar 76" hidden="1">
                <a:extLst>
                  <a:ext uri="{63B3BB69-23CF-44E3-9099-C40C66FF867C}">
                    <a14:compatExt spid="_x0000_s1100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101" name="Scroll Bar 77" hidden="1">
                <a:extLst>
                  <a:ext uri="{63B3BB69-23CF-44E3-9099-C40C66FF867C}">
                    <a14:compatExt spid="_x0000_s1101"/>
                  </a:ext>
                </a:extLst>
              </xdr:cNvPr>
              <xdr:cNvSpPr/>
            </xdr:nvSpPr>
            <xdr:spPr>
              <a:xfrm>
                <a:off x="221" y="0"/>
                <a:ext cx="144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133350</xdr:colOff>
          <xdr:row>0</xdr:row>
          <xdr:rowOff>0</xdr:rowOff>
        </xdr:from>
        <xdr:to>
          <xdr:col>5</xdr:col>
          <xdr:colOff>1314450</xdr:colOff>
          <xdr:row>0</xdr:row>
          <xdr:rowOff>0</xdr:rowOff>
        </xdr:to>
        <xdr:grpSp>
          <xdr:nvGrpSpPr>
            <xdr:cNvPr id="2082767" name="Group 78"/>
            <xdr:cNvGrpSpPr>
              <a:grpSpLocks/>
            </xdr:cNvGrpSpPr>
          </xdr:nvGrpSpPr>
          <xdr:grpSpPr bwMode="auto">
            <a:xfrm>
              <a:off x="5512174" y="0"/>
              <a:ext cx="1181100" cy="0"/>
              <a:chOff x="399" y="0"/>
              <a:chExt cx="6102398" cy="0"/>
            </a:xfrm>
          </xdr:grpSpPr>
          <xdr:sp macro="" textlink="">
            <xdr:nvSpPr>
              <xdr:cNvPr id="1103" name="Scroll Bar 79" hidden="1">
                <a:extLst>
                  <a:ext uri="{63B3BB69-23CF-44E3-9099-C40C66FF867C}">
                    <a14:compatExt spid="_x0000_s1103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104" name="Scroll Bar 80" hidden="1">
                <a:extLst>
                  <a:ext uri="{63B3BB69-23CF-44E3-9099-C40C66FF867C}">
                    <a14:compatExt spid="_x0000_s1104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105" name="Scroll Bar 81" hidden="1">
                <a:extLst>
                  <a:ext uri="{63B3BB69-23CF-44E3-9099-C40C66FF867C}">
                    <a14:compatExt spid="_x0000_s1105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106" name="Scroll Bar 82" hidden="1">
                <a:extLst>
                  <a:ext uri="{63B3BB69-23CF-44E3-9099-C40C66FF867C}">
                    <a14:compatExt spid="_x0000_s1106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107" name="Scroll Bar 83" hidden="1">
                <a:extLst>
                  <a:ext uri="{63B3BB69-23CF-44E3-9099-C40C66FF867C}">
                    <a14:compatExt spid="_x0000_s1107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108" name="Scroll Bar 84" hidden="1">
                <a:extLst>
                  <a:ext uri="{63B3BB69-23CF-44E3-9099-C40C66FF867C}">
                    <a14:compatExt spid="_x0000_s1108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109" name="Scroll Bar 85" hidden="1">
                <a:extLst>
                  <a:ext uri="{63B3BB69-23CF-44E3-9099-C40C66FF867C}">
                    <a14:compatExt spid="_x0000_s1109"/>
                  </a:ext>
                </a:extLst>
              </xdr:cNvPr>
              <xdr:cNvSpPr/>
            </xdr:nvSpPr>
            <xdr:spPr>
              <a:xfrm>
                <a:off x="399" y="0"/>
                <a:ext cx="145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0</xdr:row>
          <xdr:rowOff>0</xdr:rowOff>
        </xdr:from>
        <xdr:to>
          <xdr:col>2</xdr:col>
          <xdr:colOff>1295400</xdr:colOff>
          <xdr:row>0</xdr:row>
          <xdr:rowOff>0</xdr:rowOff>
        </xdr:to>
        <xdr:grpSp>
          <xdr:nvGrpSpPr>
            <xdr:cNvPr id="2082768" name="Group 335"/>
            <xdr:cNvGrpSpPr>
              <a:grpSpLocks/>
            </xdr:cNvGrpSpPr>
          </xdr:nvGrpSpPr>
          <xdr:grpSpPr bwMode="auto">
            <a:xfrm>
              <a:off x="2177303" y="0"/>
              <a:ext cx="1123950" cy="0"/>
              <a:chOff x="237" y="0"/>
              <a:chExt cx="2739114" cy="0"/>
            </a:xfrm>
          </xdr:grpSpPr>
          <xdr:sp macro="" textlink="">
            <xdr:nvSpPr>
              <xdr:cNvPr id="1136" name="Scroll Bar 112" hidden="1">
                <a:extLst>
                  <a:ext uri="{63B3BB69-23CF-44E3-9099-C40C66FF867C}">
                    <a14:compatExt spid="_x0000_s1136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137" name="Scroll Bar 113" hidden="1">
                <a:extLst>
                  <a:ext uri="{63B3BB69-23CF-44E3-9099-C40C66FF867C}">
                    <a14:compatExt spid="_x0000_s1137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138" name="Scroll Bar 114" hidden="1">
                <a:extLst>
                  <a:ext uri="{63B3BB69-23CF-44E3-9099-C40C66FF867C}">
                    <a14:compatExt spid="_x0000_s1138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139" name="Scroll Bar 115" hidden="1">
                <a:extLst>
                  <a:ext uri="{63B3BB69-23CF-44E3-9099-C40C66FF867C}">
                    <a14:compatExt spid="_x0000_s1139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140" name="Scroll Bar 116" hidden="1">
                <a:extLst>
                  <a:ext uri="{63B3BB69-23CF-44E3-9099-C40C66FF867C}">
                    <a14:compatExt spid="_x0000_s1140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141" name="Scroll Bar 117" hidden="1">
                <a:extLst>
                  <a:ext uri="{63B3BB69-23CF-44E3-9099-C40C66FF867C}">
                    <a14:compatExt spid="_x0000_s1141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142" name="Scroll Bar 118" hidden="1">
                <a:extLst>
                  <a:ext uri="{63B3BB69-23CF-44E3-9099-C40C66FF867C}">
                    <a14:compatExt spid="_x0000_s1142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143" name="Scroll Bar 119" hidden="1">
                <a:extLst>
                  <a:ext uri="{63B3BB69-23CF-44E3-9099-C40C66FF867C}">
                    <a14:compatExt spid="_x0000_s1143"/>
                  </a:ext>
                </a:extLst>
              </xdr:cNvPr>
              <xdr:cNvSpPr/>
            </xdr:nvSpPr>
            <xdr:spPr>
              <a:xfrm>
                <a:off x="237" y="0"/>
                <a:ext cx="144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133350</xdr:colOff>
          <xdr:row>0</xdr:row>
          <xdr:rowOff>0</xdr:rowOff>
        </xdr:from>
        <xdr:to>
          <xdr:col>5</xdr:col>
          <xdr:colOff>1314450</xdr:colOff>
          <xdr:row>0</xdr:row>
          <xdr:rowOff>0</xdr:rowOff>
        </xdr:to>
        <xdr:grpSp>
          <xdr:nvGrpSpPr>
            <xdr:cNvPr id="2082769" name="Group 336"/>
            <xdr:cNvGrpSpPr>
              <a:grpSpLocks/>
            </xdr:cNvGrpSpPr>
          </xdr:nvGrpSpPr>
          <xdr:grpSpPr bwMode="auto">
            <a:xfrm>
              <a:off x="5512174" y="0"/>
              <a:ext cx="1181100" cy="0"/>
              <a:chOff x="415" y="0"/>
              <a:chExt cx="6102382" cy="0"/>
            </a:xfrm>
          </xdr:grpSpPr>
          <xdr:sp macro="" textlink="">
            <xdr:nvSpPr>
              <xdr:cNvPr id="1147" name="Scroll Bar 123" hidden="1">
                <a:extLst>
                  <a:ext uri="{63B3BB69-23CF-44E3-9099-C40C66FF867C}">
                    <a14:compatExt spid="_x0000_s1147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148" name="Scroll Bar 124" hidden="1">
                <a:extLst>
                  <a:ext uri="{63B3BB69-23CF-44E3-9099-C40C66FF867C}">
                    <a14:compatExt spid="_x0000_s1148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149" name="Scroll Bar 125" hidden="1">
                <a:extLst>
                  <a:ext uri="{63B3BB69-23CF-44E3-9099-C40C66FF867C}">
                    <a14:compatExt spid="_x0000_s1149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150" name="Scroll Bar 126" hidden="1">
                <a:extLst>
                  <a:ext uri="{63B3BB69-23CF-44E3-9099-C40C66FF867C}">
                    <a14:compatExt spid="_x0000_s1150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151" name="Scroll Bar 127" hidden="1">
                <a:extLst>
                  <a:ext uri="{63B3BB69-23CF-44E3-9099-C40C66FF867C}">
                    <a14:compatExt spid="_x0000_s1151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152" name="Scroll Bar 128" hidden="1">
                <a:extLst>
                  <a:ext uri="{63B3BB69-23CF-44E3-9099-C40C66FF867C}">
                    <a14:compatExt spid="_x0000_s1152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153" name="Scroll Bar 129" hidden="1">
                <a:extLst>
                  <a:ext uri="{63B3BB69-23CF-44E3-9099-C40C66FF867C}">
                    <a14:compatExt spid="_x0000_s1153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154" name="Scroll Bar 130" hidden="1">
                <a:extLst>
                  <a:ext uri="{63B3BB69-23CF-44E3-9099-C40C66FF867C}">
                    <a14:compatExt spid="_x0000_s1154"/>
                  </a:ext>
                </a:extLst>
              </xdr:cNvPr>
              <xdr:cNvSpPr/>
            </xdr:nvSpPr>
            <xdr:spPr>
              <a:xfrm>
                <a:off x="415" y="0"/>
                <a:ext cx="145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0</xdr:row>
          <xdr:rowOff>0</xdr:rowOff>
        </xdr:from>
        <xdr:to>
          <xdr:col>2</xdr:col>
          <xdr:colOff>1295400</xdr:colOff>
          <xdr:row>0</xdr:row>
          <xdr:rowOff>0</xdr:rowOff>
        </xdr:to>
        <xdr:grpSp>
          <xdr:nvGrpSpPr>
            <xdr:cNvPr id="2082770" name="Group 135"/>
            <xdr:cNvGrpSpPr>
              <a:grpSpLocks/>
            </xdr:cNvGrpSpPr>
          </xdr:nvGrpSpPr>
          <xdr:grpSpPr bwMode="auto">
            <a:xfrm>
              <a:off x="2177303" y="0"/>
              <a:ext cx="1123950" cy="0"/>
              <a:chOff x="221" y="0"/>
              <a:chExt cx="2739129" cy="0"/>
            </a:xfrm>
          </xdr:grpSpPr>
          <xdr:sp macro="" textlink="">
            <xdr:nvSpPr>
              <xdr:cNvPr id="1160" name="Scroll Bar 136" hidden="1">
                <a:extLst>
                  <a:ext uri="{63B3BB69-23CF-44E3-9099-C40C66FF867C}">
                    <a14:compatExt spid="_x0000_s1160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161" name="Scroll Bar 137" hidden="1">
                <a:extLst>
                  <a:ext uri="{63B3BB69-23CF-44E3-9099-C40C66FF867C}">
                    <a14:compatExt spid="_x0000_s1161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162" name="Scroll Bar 138" hidden="1">
                <a:extLst>
                  <a:ext uri="{63B3BB69-23CF-44E3-9099-C40C66FF867C}">
                    <a14:compatExt spid="_x0000_s1162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163" name="Scroll Bar 139" hidden="1">
                <a:extLst>
                  <a:ext uri="{63B3BB69-23CF-44E3-9099-C40C66FF867C}">
                    <a14:compatExt spid="_x0000_s1163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164" name="Scroll Bar 140" hidden="1">
                <a:extLst>
                  <a:ext uri="{63B3BB69-23CF-44E3-9099-C40C66FF867C}">
                    <a14:compatExt spid="_x0000_s1164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165" name="Scroll Bar 141" hidden="1">
                <a:extLst>
                  <a:ext uri="{63B3BB69-23CF-44E3-9099-C40C66FF867C}">
                    <a14:compatExt spid="_x0000_s1165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166" name="Scroll Bar 142" hidden="1">
                <a:extLst>
                  <a:ext uri="{63B3BB69-23CF-44E3-9099-C40C66FF867C}">
                    <a14:compatExt spid="_x0000_s1166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167" name="Scroll Bar 143" hidden="1">
                <a:extLst>
                  <a:ext uri="{63B3BB69-23CF-44E3-9099-C40C66FF867C}">
                    <a14:compatExt spid="_x0000_s1167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168" name="Scroll Bar 144" hidden="1">
                <a:extLst>
                  <a:ext uri="{63B3BB69-23CF-44E3-9099-C40C66FF867C}">
                    <a14:compatExt spid="_x0000_s1168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169" name="Scroll Bar 145" hidden="1">
                <a:extLst>
                  <a:ext uri="{63B3BB69-23CF-44E3-9099-C40C66FF867C}">
                    <a14:compatExt spid="_x0000_s1169"/>
                  </a:ext>
                </a:extLst>
              </xdr:cNvPr>
              <xdr:cNvSpPr/>
            </xdr:nvSpPr>
            <xdr:spPr>
              <a:xfrm>
                <a:off x="221" y="0"/>
                <a:ext cx="144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133350</xdr:colOff>
          <xdr:row>0</xdr:row>
          <xdr:rowOff>0</xdr:rowOff>
        </xdr:from>
        <xdr:to>
          <xdr:col>5</xdr:col>
          <xdr:colOff>1314450</xdr:colOff>
          <xdr:row>0</xdr:row>
          <xdr:rowOff>0</xdr:rowOff>
        </xdr:to>
        <xdr:grpSp>
          <xdr:nvGrpSpPr>
            <xdr:cNvPr id="2082771" name="Group 146"/>
            <xdr:cNvGrpSpPr>
              <a:grpSpLocks/>
            </xdr:cNvGrpSpPr>
          </xdr:nvGrpSpPr>
          <xdr:grpSpPr bwMode="auto">
            <a:xfrm>
              <a:off x="5512174" y="0"/>
              <a:ext cx="1181100" cy="0"/>
              <a:chOff x="399" y="0"/>
              <a:chExt cx="6102398" cy="0"/>
            </a:xfrm>
          </xdr:grpSpPr>
          <xdr:sp macro="" textlink="">
            <xdr:nvSpPr>
              <xdr:cNvPr id="1171" name="Scroll Bar 147" hidden="1">
                <a:extLst>
                  <a:ext uri="{63B3BB69-23CF-44E3-9099-C40C66FF867C}">
                    <a14:compatExt spid="_x0000_s1171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172" name="Scroll Bar 148" hidden="1">
                <a:extLst>
                  <a:ext uri="{63B3BB69-23CF-44E3-9099-C40C66FF867C}">
                    <a14:compatExt spid="_x0000_s1172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173" name="Scroll Bar 149" hidden="1">
                <a:extLst>
                  <a:ext uri="{63B3BB69-23CF-44E3-9099-C40C66FF867C}">
                    <a14:compatExt spid="_x0000_s1173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174" name="Scroll Bar 150" hidden="1">
                <a:extLst>
                  <a:ext uri="{63B3BB69-23CF-44E3-9099-C40C66FF867C}">
                    <a14:compatExt spid="_x0000_s1174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175" name="Scroll Bar 151" hidden="1">
                <a:extLst>
                  <a:ext uri="{63B3BB69-23CF-44E3-9099-C40C66FF867C}">
                    <a14:compatExt spid="_x0000_s1175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176" name="Scroll Bar 152" hidden="1">
                <a:extLst>
                  <a:ext uri="{63B3BB69-23CF-44E3-9099-C40C66FF867C}">
                    <a14:compatExt spid="_x0000_s1176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177" name="Scroll Bar 153" hidden="1">
                <a:extLst>
                  <a:ext uri="{63B3BB69-23CF-44E3-9099-C40C66FF867C}">
                    <a14:compatExt spid="_x0000_s1177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178" name="Scroll Bar 154" hidden="1">
                <a:extLst>
                  <a:ext uri="{63B3BB69-23CF-44E3-9099-C40C66FF867C}">
                    <a14:compatExt spid="_x0000_s1178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179" name="Scroll Bar 155" hidden="1">
                <a:extLst>
                  <a:ext uri="{63B3BB69-23CF-44E3-9099-C40C66FF867C}">
                    <a14:compatExt spid="_x0000_s1179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180" name="Scroll Bar 156" hidden="1">
                <a:extLst>
                  <a:ext uri="{63B3BB69-23CF-44E3-9099-C40C66FF867C}">
                    <a14:compatExt spid="_x0000_s1180"/>
                  </a:ext>
                </a:extLst>
              </xdr:cNvPr>
              <xdr:cNvSpPr/>
            </xdr:nvSpPr>
            <xdr:spPr>
              <a:xfrm>
                <a:off x="399" y="0"/>
                <a:ext cx="145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133350</xdr:colOff>
          <xdr:row>0</xdr:row>
          <xdr:rowOff>0</xdr:rowOff>
        </xdr:from>
        <xdr:to>
          <xdr:col>5</xdr:col>
          <xdr:colOff>1314450</xdr:colOff>
          <xdr:row>0</xdr:row>
          <xdr:rowOff>0</xdr:rowOff>
        </xdr:to>
        <xdr:grpSp>
          <xdr:nvGrpSpPr>
            <xdr:cNvPr id="2082772" name="Group 158"/>
            <xdr:cNvGrpSpPr>
              <a:grpSpLocks/>
            </xdr:cNvGrpSpPr>
          </xdr:nvGrpSpPr>
          <xdr:grpSpPr bwMode="auto">
            <a:xfrm>
              <a:off x="5512174" y="0"/>
              <a:ext cx="1181100" cy="0"/>
              <a:chOff x="399" y="0"/>
              <a:chExt cx="6102398" cy="0"/>
            </a:xfrm>
          </xdr:grpSpPr>
          <xdr:sp macro="" textlink="">
            <xdr:nvSpPr>
              <xdr:cNvPr id="1183" name="Scroll Bar 159" hidden="1">
                <a:extLst>
                  <a:ext uri="{63B3BB69-23CF-44E3-9099-C40C66FF867C}">
                    <a14:compatExt spid="_x0000_s1183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184" name="Scroll Bar 160" hidden="1">
                <a:extLst>
                  <a:ext uri="{63B3BB69-23CF-44E3-9099-C40C66FF867C}">
                    <a14:compatExt spid="_x0000_s1184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185" name="Scroll Bar 161" hidden="1">
                <a:extLst>
                  <a:ext uri="{63B3BB69-23CF-44E3-9099-C40C66FF867C}">
                    <a14:compatExt spid="_x0000_s1185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186" name="Scroll Bar 162" hidden="1">
                <a:extLst>
                  <a:ext uri="{63B3BB69-23CF-44E3-9099-C40C66FF867C}">
                    <a14:compatExt spid="_x0000_s1186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187" name="Scroll Bar 163" hidden="1">
                <a:extLst>
                  <a:ext uri="{63B3BB69-23CF-44E3-9099-C40C66FF867C}">
                    <a14:compatExt spid="_x0000_s1187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188" name="Scroll Bar 164" hidden="1">
                <a:extLst>
                  <a:ext uri="{63B3BB69-23CF-44E3-9099-C40C66FF867C}">
                    <a14:compatExt spid="_x0000_s1188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189" name="Scroll Bar 165" hidden="1">
                <a:extLst>
                  <a:ext uri="{63B3BB69-23CF-44E3-9099-C40C66FF867C}">
                    <a14:compatExt spid="_x0000_s1189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190" name="Scroll Bar 166" hidden="1">
                <a:extLst>
                  <a:ext uri="{63B3BB69-23CF-44E3-9099-C40C66FF867C}">
                    <a14:compatExt spid="_x0000_s1190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191" name="Scroll Bar 167" hidden="1">
                <a:extLst>
                  <a:ext uri="{63B3BB69-23CF-44E3-9099-C40C66FF867C}">
                    <a14:compatExt spid="_x0000_s1191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192" name="Scroll Bar 168" hidden="1">
                <a:extLst>
                  <a:ext uri="{63B3BB69-23CF-44E3-9099-C40C66FF867C}">
                    <a14:compatExt spid="_x0000_s1192"/>
                  </a:ext>
                </a:extLst>
              </xdr:cNvPr>
              <xdr:cNvSpPr/>
            </xdr:nvSpPr>
            <xdr:spPr>
              <a:xfrm>
                <a:off x="399" y="0"/>
                <a:ext cx="145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0</xdr:row>
          <xdr:rowOff>0</xdr:rowOff>
        </xdr:from>
        <xdr:to>
          <xdr:col>2</xdr:col>
          <xdr:colOff>1295400</xdr:colOff>
          <xdr:row>0</xdr:row>
          <xdr:rowOff>0</xdr:rowOff>
        </xdr:to>
        <xdr:grpSp>
          <xdr:nvGrpSpPr>
            <xdr:cNvPr id="2082773" name="Group 175"/>
            <xdr:cNvGrpSpPr>
              <a:grpSpLocks/>
            </xdr:cNvGrpSpPr>
          </xdr:nvGrpSpPr>
          <xdr:grpSpPr bwMode="auto">
            <a:xfrm>
              <a:off x="2177303" y="0"/>
              <a:ext cx="1123950" cy="0"/>
              <a:chOff x="221" y="0"/>
              <a:chExt cx="2739129" cy="0"/>
            </a:xfrm>
          </xdr:grpSpPr>
          <xdr:sp macro="" textlink="">
            <xdr:nvSpPr>
              <xdr:cNvPr id="1200" name="Scroll Bar 176" hidden="1">
                <a:extLst>
                  <a:ext uri="{63B3BB69-23CF-44E3-9099-C40C66FF867C}">
                    <a14:compatExt spid="_x0000_s1200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201" name="Scroll Bar 177" hidden="1">
                <a:extLst>
                  <a:ext uri="{63B3BB69-23CF-44E3-9099-C40C66FF867C}">
                    <a14:compatExt spid="_x0000_s1201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202" name="Scroll Bar 178" hidden="1">
                <a:extLst>
                  <a:ext uri="{63B3BB69-23CF-44E3-9099-C40C66FF867C}">
                    <a14:compatExt spid="_x0000_s1202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203" name="Scroll Bar 179" hidden="1">
                <a:extLst>
                  <a:ext uri="{63B3BB69-23CF-44E3-9099-C40C66FF867C}">
                    <a14:compatExt spid="_x0000_s1203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204" name="Scroll Bar 180" hidden="1">
                <a:extLst>
                  <a:ext uri="{63B3BB69-23CF-44E3-9099-C40C66FF867C}">
                    <a14:compatExt spid="_x0000_s1204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205" name="Scroll Bar 181" hidden="1">
                <a:extLst>
                  <a:ext uri="{63B3BB69-23CF-44E3-9099-C40C66FF867C}">
                    <a14:compatExt spid="_x0000_s1205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206" name="Scroll Bar 182" hidden="1">
                <a:extLst>
                  <a:ext uri="{63B3BB69-23CF-44E3-9099-C40C66FF867C}">
                    <a14:compatExt spid="_x0000_s1206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207" name="Scroll Bar 183" hidden="1">
                <a:extLst>
                  <a:ext uri="{63B3BB69-23CF-44E3-9099-C40C66FF867C}">
                    <a14:compatExt spid="_x0000_s1207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208" name="Scroll Bar 184" hidden="1">
                <a:extLst>
                  <a:ext uri="{63B3BB69-23CF-44E3-9099-C40C66FF867C}">
                    <a14:compatExt spid="_x0000_s1208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209" name="Scroll Bar 185" hidden="1">
                <a:extLst>
                  <a:ext uri="{63B3BB69-23CF-44E3-9099-C40C66FF867C}">
                    <a14:compatExt spid="_x0000_s1209"/>
                  </a:ext>
                </a:extLst>
              </xdr:cNvPr>
              <xdr:cNvSpPr/>
            </xdr:nvSpPr>
            <xdr:spPr>
              <a:xfrm>
                <a:off x="221" y="0"/>
                <a:ext cx="144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133350</xdr:colOff>
          <xdr:row>0</xdr:row>
          <xdr:rowOff>0</xdr:rowOff>
        </xdr:from>
        <xdr:to>
          <xdr:col>5</xdr:col>
          <xdr:colOff>1314450</xdr:colOff>
          <xdr:row>0</xdr:row>
          <xdr:rowOff>0</xdr:rowOff>
        </xdr:to>
        <xdr:grpSp>
          <xdr:nvGrpSpPr>
            <xdr:cNvPr id="2082774" name="Group 186"/>
            <xdr:cNvGrpSpPr>
              <a:grpSpLocks/>
            </xdr:cNvGrpSpPr>
          </xdr:nvGrpSpPr>
          <xdr:grpSpPr bwMode="auto">
            <a:xfrm>
              <a:off x="5512174" y="0"/>
              <a:ext cx="1181100" cy="0"/>
              <a:chOff x="399" y="0"/>
              <a:chExt cx="6102398" cy="0"/>
            </a:xfrm>
          </xdr:grpSpPr>
          <xdr:sp macro="" textlink="">
            <xdr:nvSpPr>
              <xdr:cNvPr id="1211" name="Scroll Bar 187" hidden="1">
                <a:extLst>
                  <a:ext uri="{63B3BB69-23CF-44E3-9099-C40C66FF867C}">
                    <a14:compatExt spid="_x0000_s1211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212" name="Scroll Bar 188" hidden="1">
                <a:extLst>
                  <a:ext uri="{63B3BB69-23CF-44E3-9099-C40C66FF867C}">
                    <a14:compatExt spid="_x0000_s1212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213" name="Scroll Bar 189" hidden="1">
                <a:extLst>
                  <a:ext uri="{63B3BB69-23CF-44E3-9099-C40C66FF867C}">
                    <a14:compatExt spid="_x0000_s1213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214" name="Scroll Bar 190" hidden="1">
                <a:extLst>
                  <a:ext uri="{63B3BB69-23CF-44E3-9099-C40C66FF867C}">
                    <a14:compatExt spid="_x0000_s1214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215" name="Scroll Bar 191" hidden="1">
                <a:extLst>
                  <a:ext uri="{63B3BB69-23CF-44E3-9099-C40C66FF867C}">
                    <a14:compatExt spid="_x0000_s1215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216" name="Scroll Bar 192" hidden="1">
                <a:extLst>
                  <a:ext uri="{63B3BB69-23CF-44E3-9099-C40C66FF867C}">
                    <a14:compatExt spid="_x0000_s1216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217" name="Scroll Bar 193" hidden="1">
                <a:extLst>
                  <a:ext uri="{63B3BB69-23CF-44E3-9099-C40C66FF867C}">
                    <a14:compatExt spid="_x0000_s1217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218" name="Scroll Bar 194" hidden="1">
                <a:extLst>
                  <a:ext uri="{63B3BB69-23CF-44E3-9099-C40C66FF867C}">
                    <a14:compatExt spid="_x0000_s1218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219" name="Scroll Bar 195" hidden="1">
                <a:extLst>
                  <a:ext uri="{63B3BB69-23CF-44E3-9099-C40C66FF867C}">
                    <a14:compatExt spid="_x0000_s1219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220" name="Scroll Bar 196" hidden="1">
                <a:extLst>
                  <a:ext uri="{63B3BB69-23CF-44E3-9099-C40C66FF867C}">
                    <a14:compatExt spid="_x0000_s1220"/>
                  </a:ext>
                </a:extLst>
              </xdr:cNvPr>
              <xdr:cNvSpPr/>
            </xdr:nvSpPr>
            <xdr:spPr>
              <a:xfrm>
                <a:off x="399" y="0"/>
                <a:ext cx="145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0</xdr:rowOff>
        </xdr:from>
        <xdr:to>
          <xdr:col>5</xdr:col>
          <xdr:colOff>1314450</xdr:colOff>
          <xdr:row>0</xdr:row>
          <xdr:rowOff>0</xdr:rowOff>
        </xdr:to>
        <xdr:grpSp>
          <xdr:nvGrpSpPr>
            <xdr:cNvPr id="2082775" name="Group 205"/>
            <xdr:cNvGrpSpPr>
              <a:grpSpLocks/>
            </xdr:cNvGrpSpPr>
          </xdr:nvGrpSpPr>
          <xdr:grpSpPr bwMode="auto">
            <a:xfrm>
              <a:off x="5502649" y="0"/>
              <a:ext cx="1190625" cy="0"/>
              <a:chOff x="395" y="0"/>
              <a:chExt cx="6097640" cy="0"/>
            </a:xfrm>
          </xdr:grpSpPr>
          <xdr:sp macro="" textlink="">
            <xdr:nvSpPr>
              <xdr:cNvPr id="1230" name="Scroll Bar 206" hidden="1">
                <a:extLst>
                  <a:ext uri="{63B3BB69-23CF-44E3-9099-C40C66FF867C}">
                    <a14:compatExt spid="_x0000_s1230"/>
                  </a:ext>
                </a:extLst>
              </xdr:cNvPr>
              <xdr:cNvSpPr/>
            </xdr:nvSpPr>
            <xdr:spPr>
              <a:xfrm>
                <a:off x="6097886" y="0"/>
                <a:ext cx="149" cy="0"/>
              </a:xfrm>
              <a:prstGeom prst="rect">
                <a:avLst/>
              </a:prstGeom>
            </xdr:spPr>
          </xdr:sp>
          <xdr:sp macro="" textlink="">
            <xdr:nvSpPr>
              <xdr:cNvPr id="1231" name="Scroll Bar 207" hidden="1">
                <a:extLst>
                  <a:ext uri="{63B3BB69-23CF-44E3-9099-C40C66FF867C}">
                    <a14:compatExt spid="_x0000_s1231"/>
                  </a:ext>
                </a:extLst>
              </xdr:cNvPr>
              <xdr:cNvSpPr/>
            </xdr:nvSpPr>
            <xdr:spPr>
              <a:xfrm>
                <a:off x="6097886" y="0"/>
                <a:ext cx="149" cy="0"/>
              </a:xfrm>
              <a:prstGeom prst="rect">
                <a:avLst/>
              </a:prstGeom>
            </xdr:spPr>
          </xdr:sp>
          <xdr:sp macro="" textlink="">
            <xdr:nvSpPr>
              <xdr:cNvPr id="1232" name="Scroll Bar 208" hidden="1">
                <a:extLst>
                  <a:ext uri="{63B3BB69-23CF-44E3-9099-C40C66FF867C}">
                    <a14:compatExt spid="_x0000_s1232"/>
                  </a:ext>
                </a:extLst>
              </xdr:cNvPr>
              <xdr:cNvSpPr/>
            </xdr:nvSpPr>
            <xdr:spPr>
              <a:xfrm>
                <a:off x="6097886" y="0"/>
                <a:ext cx="149" cy="0"/>
              </a:xfrm>
              <a:prstGeom prst="rect">
                <a:avLst/>
              </a:prstGeom>
            </xdr:spPr>
          </xdr:sp>
          <xdr:sp macro="" textlink="">
            <xdr:nvSpPr>
              <xdr:cNvPr id="1233" name="Scroll Bar 209" hidden="1">
                <a:extLst>
                  <a:ext uri="{63B3BB69-23CF-44E3-9099-C40C66FF867C}">
                    <a14:compatExt spid="_x0000_s1233"/>
                  </a:ext>
                </a:extLst>
              </xdr:cNvPr>
              <xdr:cNvSpPr/>
            </xdr:nvSpPr>
            <xdr:spPr>
              <a:xfrm>
                <a:off x="395" y="0"/>
                <a:ext cx="149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0</xdr:row>
          <xdr:rowOff>0</xdr:rowOff>
        </xdr:from>
        <xdr:to>
          <xdr:col>2</xdr:col>
          <xdr:colOff>1295400</xdr:colOff>
          <xdr:row>0</xdr:row>
          <xdr:rowOff>0</xdr:rowOff>
        </xdr:to>
        <xdr:grpSp>
          <xdr:nvGrpSpPr>
            <xdr:cNvPr id="2082776" name="Group 3460"/>
            <xdr:cNvGrpSpPr>
              <a:grpSpLocks/>
            </xdr:cNvGrpSpPr>
          </xdr:nvGrpSpPr>
          <xdr:grpSpPr bwMode="auto">
            <a:xfrm>
              <a:off x="2167778" y="0"/>
              <a:ext cx="1133475" cy="0"/>
              <a:chOff x="229" y="0"/>
              <a:chExt cx="146" cy="0"/>
            </a:xfrm>
          </xdr:grpSpPr>
          <xdr:sp macro="" textlink="">
            <xdr:nvSpPr>
              <xdr:cNvPr id="1260" name="Scroll Bar 236" hidden="1">
                <a:extLst>
                  <a:ext uri="{63B3BB69-23CF-44E3-9099-C40C66FF867C}">
                    <a14:compatExt spid="_x0000_s1260"/>
                  </a:ext>
                </a:extLst>
              </xdr:cNvPr>
              <xdr:cNvSpPr/>
            </xdr:nvSpPr>
            <xdr:spPr>
              <a:xfrm>
                <a:off x="229" y="0"/>
                <a:ext cx="146" cy="0"/>
              </a:xfrm>
              <a:prstGeom prst="rect">
                <a:avLst/>
              </a:prstGeom>
            </xdr:spPr>
          </xdr:sp>
          <xdr:sp macro="" textlink="">
            <xdr:nvSpPr>
              <xdr:cNvPr id="1261" name="Scroll Bar 237" hidden="1">
                <a:extLst>
                  <a:ext uri="{63B3BB69-23CF-44E3-9099-C40C66FF867C}">
                    <a14:compatExt spid="_x0000_s1261"/>
                  </a:ext>
                </a:extLst>
              </xdr:cNvPr>
              <xdr:cNvSpPr/>
            </xdr:nvSpPr>
            <xdr:spPr>
              <a:xfrm>
                <a:off x="229" y="0"/>
                <a:ext cx="146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0</xdr:row>
          <xdr:rowOff>0</xdr:rowOff>
        </xdr:from>
        <xdr:to>
          <xdr:col>2</xdr:col>
          <xdr:colOff>1295400</xdr:colOff>
          <xdr:row>0</xdr:row>
          <xdr:rowOff>0</xdr:rowOff>
        </xdr:to>
        <xdr:grpSp>
          <xdr:nvGrpSpPr>
            <xdr:cNvPr id="2082777" name="Group 262"/>
            <xdr:cNvGrpSpPr>
              <a:grpSpLocks/>
            </xdr:cNvGrpSpPr>
          </xdr:nvGrpSpPr>
          <xdr:grpSpPr bwMode="auto">
            <a:xfrm>
              <a:off x="2167778" y="0"/>
              <a:ext cx="1133475" cy="0"/>
              <a:chOff x="220" y="0"/>
              <a:chExt cx="2734369" cy="0"/>
            </a:xfrm>
          </xdr:grpSpPr>
          <xdr:sp macro="" textlink="">
            <xdr:nvSpPr>
              <xdr:cNvPr id="1276" name="Scroll Bar 252" hidden="1">
                <a:extLst>
                  <a:ext uri="{63B3BB69-23CF-44E3-9099-C40C66FF867C}">
                    <a14:compatExt spid="_x0000_s1276"/>
                  </a:ext>
                </a:extLst>
              </xdr:cNvPr>
              <xdr:cNvSpPr/>
            </xdr:nvSpPr>
            <xdr:spPr>
              <a:xfrm>
                <a:off x="2734442" y="0"/>
                <a:ext cx="147" cy="0"/>
              </a:xfrm>
              <a:prstGeom prst="rect">
                <a:avLst/>
              </a:prstGeom>
            </xdr:spPr>
          </xdr:sp>
          <xdr:sp macro="" textlink="">
            <xdr:nvSpPr>
              <xdr:cNvPr id="1277" name="Scroll Bar 253" hidden="1">
                <a:extLst>
                  <a:ext uri="{63B3BB69-23CF-44E3-9099-C40C66FF867C}">
                    <a14:compatExt spid="_x0000_s1277"/>
                  </a:ext>
                </a:extLst>
              </xdr:cNvPr>
              <xdr:cNvSpPr/>
            </xdr:nvSpPr>
            <xdr:spPr>
              <a:xfrm>
                <a:off x="2734442" y="0"/>
                <a:ext cx="147" cy="0"/>
              </a:xfrm>
              <a:prstGeom prst="rect">
                <a:avLst/>
              </a:prstGeom>
            </xdr:spPr>
          </xdr:sp>
          <xdr:sp macro="" textlink="">
            <xdr:nvSpPr>
              <xdr:cNvPr id="1278" name="Scroll Bar 254" hidden="1">
                <a:extLst>
                  <a:ext uri="{63B3BB69-23CF-44E3-9099-C40C66FF867C}">
                    <a14:compatExt spid="_x0000_s1278"/>
                  </a:ext>
                </a:extLst>
              </xdr:cNvPr>
              <xdr:cNvSpPr/>
            </xdr:nvSpPr>
            <xdr:spPr>
              <a:xfrm>
                <a:off x="2734442" y="0"/>
                <a:ext cx="147" cy="0"/>
              </a:xfrm>
              <a:prstGeom prst="rect">
                <a:avLst/>
              </a:prstGeom>
            </xdr:spPr>
          </xdr:sp>
          <xdr:sp macro="" textlink="">
            <xdr:nvSpPr>
              <xdr:cNvPr id="1279" name="Scroll Bar 255" hidden="1">
                <a:extLst>
                  <a:ext uri="{63B3BB69-23CF-44E3-9099-C40C66FF867C}">
                    <a14:compatExt spid="_x0000_s1279"/>
                  </a:ext>
                </a:extLst>
              </xdr:cNvPr>
              <xdr:cNvSpPr/>
            </xdr:nvSpPr>
            <xdr:spPr>
              <a:xfrm>
                <a:off x="220" y="0"/>
                <a:ext cx="147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0</xdr:rowOff>
        </xdr:from>
        <xdr:to>
          <xdr:col>5</xdr:col>
          <xdr:colOff>1314450</xdr:colOff>
          <xdr:row>0</xdr:row>
          <xdr:rowOff>0</xdr:rowOff>
        </xdr:to>
        <xdr:sp macro="" textlink="">
          <xdr:nvSpPr>
            <xdr:cNvPr id="1281" name="Scroll Bar 257" hidden="1">
              <a:extLst>
                <a:ext uri="{63B3BB69-23CF-44E3-9099-C40C66FF867C}">
                  <a14:compatExt spid="_x0000_s1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0</xdr:rowOff>
        </xdr:from>
        <xdr:to>
          <xdr:col>5</xdr:col>
          <xdr:colOff>1314450</xdr:colOff>
          <xdr:row>0</xdr:row>
          <xdr:rowOff>0</xdr:rowOff>
        </xdr:to>
        <xdr:sp macro="" textlink="">
          <xdr:nvSpPr>
            <xdr:cNvPr id="1282" name="Scroll Bar 258" hidden="1">
              <a:extLst>
                <a:ext uri="{63B3BB69-23CF-44E3-9099-C40C66FF867C}">
                  <a14:compatExt spid="_x0000_s1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0</xdr:rowOff>
        </xdr:from>
        <xdr:to>
          <xdr:col>5</xdr:col>
          <xdr:colOff>1314450</xdr:colOff>
          <xdr:row>0</xdr:row>
          <xdr:rowOff>0</xdr:rowOff>
        </xdr:to>
        <xdr:sp macro="" textlink="">
          <xdr:nvSpPr>
            <xdr:cNvPr id="1283" name="Scroll Bar 259" hidden="1">
              <a:extLst>
                <a:ext uri="{63B3BB69-23CF-44E3-9099-C40C66FF867C}">
                  <a14:compatExt spid="_x0000_s1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0</xdr:rowOff>
        </xdr:from>
        <xdr:to>
          <xdr:col>5</xdr:col>
          <xdr:colOff>1314450</xdr:colOff>
          <xdr:row>0</xdr:row>
          <xdr:rowOff>0</xdr:rowOff>
        </xdr:to>
        <xdr:sp macro="" textlink="">
          <xdr:nvSpPr>
            <xdr:cNvPr id="1284" name="Scroll Bar 260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0</xdr:row>
          <xdr:rowOff>0</xdr:rowOff>
        </xdr:from>
        <xdr:to>
          <xdr:col>2</xdr:col>
          <xdr:colOff>1295400</xdr:colOff>
          <xdr:row>0</xdr:row>
          <xdr:rowOff>0</xdr:rowOff>
        </xdr:to>
        <xdr:grpSp>
          <xdr:nvGrpSpPr>
            <xdr:cNvPr id="2082778" name="Group 334"/>
            <xdr:cNvGrpSpPr>
              <a:grpSpLocks/>
            </xdr:cNvGrpSpPr>
          </xdr:nvGrpSpPr>
          <xdr:grpSpPr bwMode="auto">
            <a:xfrm>
              <a:off x="2177303" y="0"/>
              <a:ext cx="1123950" cy="0"/>
              <a:chOff x="237" y="0"/>
              <a:chExt cx="2739114" cy="0"/>
            </a:xfrm>
          </xdr:grpSpPr>
          <xdr:sp macro="" textlink="">
            <xdr:nvSpPr>
              <xdr:cNvPr id="1335" name="Scroll Bar 311" hidden="1">
                <a:extLst>
                  <a:ext uri="{63B3BB69-23CF-44E3-9099-C40C66FF867C}">
                    <a14:compatExt spid="_x0000_s1335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336" name="Scroll Bar 312" hidden="1">
                <a:extLst>
                  <a:ext uri="{63B3BB69-23CF-44E3-9099-C40C66FF867C}">
                    <a14:compatExt spid="_x0000_s1336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337" name="Scroll Bar 313" hidden="1">
                <a:extLst>
                  <a:ext uri="{63B3BB69-23CF-44E3-9099-C40C66FF867C}">
                    <a14:compatExt spid="_x0000_s1337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338" name="Scroll Bar 314" hidden="1">
                <a:extLst>
                  <a:ext uri="{63B3BB69-23CF-44E3-9099-C40C66FF867C}">
                    <a14:compatExt spid="_x0000_s1338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339" name="Scroll Bar 315" hidden="1">
                <a:extLst>
                  <a:ext uri="{63B3BB69-23CF-44E3-9099-C40C66FF867C}">
                    <a14:compatExt spid="_x0000_s1339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340" name="Scroll Bar 316" hidden="1">
                <a:extLst>
                  <a:ext uri="{63B3BB69-23CF-44E3-9099-C40C66FF867C}">
                    <a14:compatExt spid="_x0000_s1340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341" name="Scroll Bar 317" hidden="1">
                <a:extLst>
                  <a:ext uri="{63B3BB69-23CF-44E3-9099-C40C66FF867C}">
                    <a14:compatExt spid="_x0000_s1341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342" name="Scroll Bar 318" hidden="1">
                <a:extLst>
                  <a:ext uri="{63B3BB69-23CF-44E3-9099-C40C66FF867C}">
                    <a14:compatExt spid="_x0000_s1342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343" name="Scroll Bar 319" hidden="1">
                <a:extLst>
                  <a:ext uri="{63B3BB69-23CF-44E3-9099-C40C66FF867C}">
                    <a14:compatExt spid="_x0000_s1343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344" name="Scroll Bar 320" hidden="1">
                <a:extLst>
                  <a:ext uri="{63B3BB69-23CF-44E3-9099-C40C66FF867C}">
                    <a14:compatExt spid="_x0000_s1344"/>
                  </a:ext>
                </a:extLst>
              </xdr:cNvPr>
              <xdr:cNvSpPr/>
            </xdr:nvSpPr>
            <xdr:spPr>
              <a:xfrm>
                <a:off x="237" y="0"/>
                <a:ext cx="144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133350</xdr:colOff>
          <xdr:row>0</xdr:row>
          <xdr:rowOff>0</xdr:rowOff>
        </xdr:from>
        <xdr:to>
          <xdr:col>5</xdr:col>
          <xdr:colOff>1314450</xdr:colOff>
          <xdr:row>0</xdr:row>
          <xdr:rowOff>0</xdr:rowOff>
        </xdr:to>
        <xdr:grpSp>
          <xdr:nvGrpSpPr>
            <xdr:cNvPr id="2082779" name="Group 333"/>
            <xdr:cNvGrpSpPr>
              <a:grpSpLocks/>
            </xdr:cNvGrpSpPr>
          </xdr:nvGrpSpPr>
          <xdr:grpSpPr bwMode="auto">
            <a:xfrm>
              <a:off x="5512174" y="0"/>
              <a:ext cx="1181100" cy="0"/>
              <a:chOff x="415" y="0"/>
              <a:chExt cx="6102382" cy="0"/>
            </a:xfrm>
          </xdr:grpSpPr>
          <xdr:sp macro="" textlink="">
            <xdr:nvSpPr>
              <xdr:cNvPr id="1346" name="Scroll Bar 322" hidden="1">
                <a:extLst>
                  <a:ext uri="{63B3BB69-23CF-44E3-9099-C40C66FF867C}">
                    <a14:compatExt spid="_x0000_s1346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347" name="Scroll Bar 323" hidden="1">
                <a:extLst>
                  <a:ext uri="{63B3BB69-23CF-44E3-9099-C40C66FF867C}">
                    <a14:compatExt spid="_x0000_s1347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348" name="Scroll Bar 324" hidden="1">
                <a:extLst>
                  <a:ext uri="{63B3BB69-23CF-44E3-9099-C40C66FF867C}">
                    <a14:compatExt spid="_x0000_s1348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349" name="Scroll Bar 325" hidden="1">
                <a:extLst>
                  <a:ext uri="{63B3BB69-23CF-44E3-9099-C40C66FF867C}">
                    <a14:compatExt spid="_x0000_s1349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350" name="Scroll Bar 326" hidden="1">
                <a:extLst>
                  <a:ext uri="{63B3BB69-23CF-44E3-9099-C40C66FF867C}">
                    <a14:compatExt spid="_x0000_s1350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351" name="Scroll Bar 327" hidden="1">
                <a:extLst>
                  <a:ext uri="{63B3BB69-23CF-44E3-9099-C40C66FF867C}">
                    <a14:compatExt spid="_x0000_s1351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352" name="Scroll Bar 328" hidden="1">
                <a:extLst>
                  <a:ext uri="{63B3BB69-23CF-44E3-9099-C40C66FF867C}">
                    <a14:compatExt spid="_x0000_s1352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353" name="Scroll Bar 329" hidden="1">
                <a:extLst>
                  <a:ext uri="{63B3BB69-23CF-44E3-9099-C40C66FF867C}">
                    <a14:compatExt spid="_x0000_s1353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354" name="Scroll Bar 330" hidden="1">
                <a:extLst>
                  <a:ext uri="{63B3BB69-23CF-44E3-9099-C40C66FF867C}">
                    <a14:compatExt spid="_x0000_s1354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355" name="Scroll Bar 331" hidden="1">
                <a:extLst>
                  <a:ext uri="{63B3BB69-23CF-44E3-9099-C40C66FF867C}">
                    <a14:compatExt spid="_x0000_s1355"/>
                  </a:ext>
                </a:extLst>
              </xdr:cNvPr>
              <xdr:cNvSpPr/>
            </xdr:nvSpPr>
            <xdr:spPr>
              <a:xfrm>
                <a:off x="415" y="0"/>
                <a:ext cx="145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0</xdr:row>
          <xdr:rowOff>0</xdr:rowOff>
        </xdr:from>
        <xdr:to>
          <xdr:col>2</xdr:col>
          <xdr:colOff>1295400</xdr:colOff>
          <xdr:row>0</xdr:row>
          <xdr:rowOff>0</xdr:rowOff>
        </xdr:to>
        <xdr:grpSp>
          <xdr:nvGrpSpPr>
            <xdr:cNvPr id="2082780" name="Group 407"/>
            <xdr:cNvGrpSpPr>
              <a:grpSpLocks/>
            </xdr:cNvGrpSpPr>
          </xdr:nvGrpSpPr>
          <xdr:grpSpPr bwMode="auto">
            <a:xfrm>
              <a:off x="2177303" y="0"/>
              <a:ext cx="1123950" cy="0"/>
              <a:chOff x="237" y="0"/>
              <a:chExt cx="2739114" cy="0"/>
            </a:xfrm>
          </xdr:grpSpPr>
          <xdr:sp macro="" textlink="">
            <xdr:nvSpPr>
              <xdr:cNvPr id="1408" name="Scroll Bar 384" hidden="1">
                <a:extLst>
                  <a:ext uri="{63B3BB69-23CF-44E3-9099-C40C66FF867C}">
                    <a14:compatExt spid="_x0000_s1408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409" name="Scroll Bar 385" hidden="1">
                <a:extLst>
                  <a:ext uri="{63B3BB69-23CF-44E3-9099-C40C66FF867C}">
                    <a14:compatExt spid="_x0000_s1409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410" name="Scroll Bar 386" hidden="1">
                <a:extLst>
                  <a:ext uri="{63B3BB69-23CF-44E3-9099-C40C66FF867C}">
                    <a14:compatExt spid="_x0000_s1410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411" name="Scroll Bar 387" hidden="1">
                <a:extLst>
                  <a:ext uri="{63B3BB69-23CF-44E3-9099-C40C66FF867C}">
                    <a14:compatExt spid="_x0000_s1411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412" name="Scroll Bar 388" hidden="1">
                <a:extLst>
                  <a:ext uri="{63B3BB69-23CF-44E3-9099-C40C66FF867C}">
                    <a14:compatExt spid="_x0000_s1412"/>
                  </a:ext>
                </a:extLst>
              </xdr:cNvPr>
              <xdr:cNvSpPr/>
            </xdr:nvSpPr>
            <xdr:spPr>
              <a:xfrm>
                <a:off x="237" y="0"/>
                <a:ext cx="144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133350</xdr:colOff>
          <xdr:row>0</xdr:row>
          <xdr:rowOff>0</xdr:rowOff>
        </xdr:from>
        <xdr:to>
          <xdr:col>5</xdr:col>
          <xdr:colOff>1314450</xdr:colOff>
          <xdr:row>0</xdr:row>
          <xdr:rowOff>0</xdr:rowOff>
        </xdr:to>
        <xdr:grpSp>
          <xdr:nvGrpSpPr>
            <xdr:cNvPr id="2082781" name="Group 406"/>
            <xdr:cNvGrpSpPr>
              <a:grpSpLocks/>
            </xdr:cNvGrpSpPr>
          </xdr:nvGrpSpPr>
          <xdr:grpSpPr bwMode="auto">
            <a:xfrm>
              <a:off x="5512174" y="0"/>
              <a:ext cx="1181100" cy="0"/>
              <a:chOff x="415" y="0"/>
              <a:chExt cx="6102382" cy="0"/>
            </a:xfrm>
          </xdr:grpSpPr>
          <xdr:sp macro="" textlink="">
            <xdr:nvSpPr>
              <xdr:cNvPr id="1419" name="Scroll Bar 395" hidden="1">
                <a:extLst>
                  <a:ext uri="{63B3BB69-23CF-44E3-9099-C40C66FF867C}">
                    <a14:compatExt spid="_x0000_s1419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420" name="Scroll Bar 396" hidden="1">
                <a:extLst>
                  <a:ext uri="{63B3BB69-23CF-44E3-9099-C40C66FF867C}">
                    <a14:compatExt spid="_x0000_s1420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421" name="Scroll Bar 397" hidden="1">
                <a:extLst>
                  <a:ext uri="{63B3BB69-23CF-44E3-9099-C40C66FF867C}">
                    <a14:compatExt spid="_x0000_s1421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422" name="Scroll Bar 398" hidden="1">
                <a:extLst>
                  <a:ext uri="{63B3BB69-23CF-44E3-9099-C40C66FF867C}">
                    <a14:compatExt spid="_x0000_s1422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423" name="Scroll Bar 399" hidden="1">
                <a:extLst>
                  <a:ext uri="{63B3BB69-23CF-44E3-9099-C40C66FF867C}">
                    <a14:compatExt spid="_x0000_s1423"/>
                  </a:ext>
                </a:extLst>
              </xdr:cNvPr>
              <xdr:cNvSpPr/>
            </xdr:nvSpPr>
            <xdr:spPr>
              <a:xfrm>
                <a:off x="415" y="0"/>
                <a:ext cx="145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0</xdr:row>
          <xdr:rowOff>0</xdr:rowOff>
        </xdr:from>
        <xdr:to>
          <xdr:col>2</xdr:col>
          <xdr:colOff>1295400</xdr:colOff>
          <xdr:row>0</xdr:row>
          <xdr:rowOff>0</xdr:rowOff>
        </xdr:to>
        <xdr:grpSp>
          <xdr:nvGrpSpPr>
            <xdr:cNvPr id="2082782" name="Group 439"/>
            <xdr:cNvGrpSpPr>
              <a:grpSpLocks/>
            </xdr:cNvGrpSpPr>
          </xdr:nvGrpSpPr>
          <xdr:grpSpPr bwMode="auto">
            <a:xfrm>
              <a:off x="2177303" y="0"/>
              <a:ext cx="1123950" cy="0"/>
              <a:chOff x="237" y="0"/>
              <a:chExt cx="2739114" cy="0"/>
            </a:xfrm>
          </xdr:grpSpPr>
          <xdr:sp macro="" textlink="">
            <xdr:nvSpPr>
              <xdr:cNvPr id="1433" name="Scroll Bar 409" hidden="1">
                <a:extLst>
                  <a:ext uri="{63B3BB69-23CF-44E3-9099-C40C66FF867C}">
                    <a14:compatExt spid="_x0000_s1433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434" name="Scroll Bar 410" hidden="1">
                <a:extLst>
                  <a:ext uri="{63B3BB69-23CF-44E3-9099-C40C66FF867C}">
                    <a14:compatExt spid="_x0000_s1434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435" name="Scroll Bar 411" hidden="1">
                <a:extLst>
                  <a:ext uri="{63B3BB69-23CF-44E3-9099-C40C66FF867C}">
                    <a14:compatExt spid="_x0000_s1435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436" name="Scroll Bar 412" hidden="1">
                <a:extLst>
                  <a:ext uri="{63B3BB69-23CF-44E3-9099-C40C66FF867C}">
                    <a14:compatExt spid="_x0000_s1436"/>
                  </a:ext>
                </a:extLst>
              </xdr:cNvPr>
              <xdr:cNvSpPr/>
            </xdr:nvSpPr>
            <xdr:spPr>
              <a:xfrm>
                <a:off x="237" y="0"/>
                <a:ext cx="144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133350</xdr:colOff>
          <xdr:row>0</xdr:row>
          <xdr:rowOff>0</xdr:rowOff>
        </xdr:from>
        <xdr:to>
          <xdr:col>5</xdr:col>
          <xdr:colOff>1314450</xdr:colOff>
          <xdr:row>0</xdr:row>
          <xdr:rowOff>0</xdr:rowOff>
        </xdr:to>
        <xdr:grpSp>
          <xdr:nvGrpSpPr>
            <xdr:cNvPr id="2082783" name="Group 440"/>
            <xdr:cNvGrpSpPr>
              <a:grpSpLocks/>
            </xdr:cNvGrpSpPr>
          </xdr:nvGrpSpPr>
          <xdr:grpSpPr bwMode="auto">
            <a:xfrm>
              <a:off x="5512174" y="0"/>
              <a:ext cx="1181100" cy="0"/>
              <a:chOff x="415" y="0"/>
              <a:chExt cx="6102382" cy="0"/>
            </a:xfrm>
          </xdr:grpSpPr>
          <xdr:sp macro="" textlink="">
            <xdr:nvSpPr>
              <xdr:cNvPr id="1442" name="Scroll Bar 418" hidden="1">
                <a:extLst>
                  <a:ext uri="{63B3BB69-23CF-44E3-9099-C40C66FF867C}">
                    <a14:compatExt spid="_x0000_s1442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443" name="Scroll Bar 419" hidden="1">
                <a:extLst>
                  <a:ext uri="{63B3BB69-23CF-44E3-9099-C40C66FF867C}">
                    <a14:compatExt spid="_x0000_s1443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444" name="Scroll Bar 420" hidden="1">
                <a:extLst>
                  <a:ext uri="{63B3BB69-23CF-44E3-9099-C40C66FF867C}">
                    <a14:compatExt spid="_x0000_s1444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445" name="Scroll Bar 421" hidden="1">
                <a:extLst>
                  <a:ext uri="{63B3BB69-23CF-44E3-9099-C40C66FF867C}">
                    <a14:compatExt spid="_x0000_s1445"/>
                  </a:ext>
                </a:extLst>
              </xdr:cNvPr>
              <xdr:cNvSpPr/>
            </xdr:nvSpPr>
            <xdr:spPr>
              <a:xfrm>
                <a:off x="415" y="0"/>
                <a:ext cx="145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0</xdr:row>
          <xdr:rowOff>0</xdr:rowOff>
        </xdr:from>
        <xdr:to>
          <xdr:col>2</xdr:col>
          <xdr:colOff>1295400</xdr:colOff>
          <xdr:row>0</xdr:row>
          <xdr:rowOff>0</xdr:rowOff>
        </xdr:to>
        <xdr:grpSp>
          <xdr:nvGrpSpPr>
            <xdr:cNvPr id="2082784" name="Group 443"/>
            <xdr:cNvGrpSpPr>
              <a:grpSpLocks/>
            </xdr:cNvGrpSpPr>
          </xdr:nvGrpSpPr>
          <xdr:grpSpPr bwMode="auto">
            <a:xfrm>
              <a:off x="2177303" y="0"/>
              <a:ext cx="1123950" cy="0"/>
              <a:chOff x="237" y="0"/>
              <a:chExt cx="2739114" cy="0"/>
            </a:xfrm>
          </xdr:grpSpPr>
          <xdr:sp macro="" textlink="">
            <xdr:nvSpPr>
              <xdr:cNvPr id="1454" name="Scroll Bar 430" hidden="1">
                <a:extLst>
                  <a:ext uri="{63B3BB69-23CF-44E3-9099-C40C66FF867C}">
                    <a14:compatExt spid="_x0000_s1454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455" name="Scroll Bar 431" hidden="1">
                <a:extLst>
                  <a:ext uri="{63B3BB69-23CF-44E3-9099-C40C66FF867C}">
                    <a14:compatExt spid="_x0000_s1455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456" name="Scroll Bar 432" hidden="1">
                <a:extLst>
                  <a:ext uri="{63B3BB69-23CF-44E3-9099-C40C66FF867C}">
                    <a14:compatExt spid="_x0000_s1456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457" name="Scroll Bar 433" hidden="1">
                <a:extLst>
                  <a:ext uri="{63B3BB69-23CF-44E3-9099-C40C66FF867C}">
                    <a14:compatExt spid="_x0000_s1457"/>
                  </a:ext>
                </a:extLst>
              </xdr:cNvPr>
              <xdr:cNvSpPr/>
            </xdr:nvSpPr>
            <xdr:spPr>
              <a:xfrm>
                <a:off x="237" y="0"/>
                <a:ext cx="144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133350</xdr:colOff>
          <xdr:row>0</xdr:row>
          <xdr:rowOff>0</xdr:rowOff>
        </xdr:from>
        <xdr:to>
          <xdr:col>5</xdr:col>
          <xdr:colOff>1314450</xdr:colOff>
          <xdr:row>0</xdr:row>
          <xdr:rowOff>0</xdr:rowOff>
        </xdr:to>
        <xdr:grpSp>
          <xdr:nvGrpSpPr>
            <xdr:cNvPr id="2082785" name="Group 442"/>
            <xdr:cNvGrpSpPr>
              <a:grpSpLocks/>
            </xdr:cNvGrpSpPr>
          </xdr:nvGrpSpPr>
          <xdr:grpSpPr bwMode="auto">
            <a:xfrm>
              <a:off x="5512174" y="0"/>
              <a:ext cx="1181100" cy="0"/>
              <a:chOff x="415" y="0"/>
              <a:chExt cx="6102382" cy="0"/>
            </a:xfrm>
          </xdr:grpSpPr>
          <xdr:sp macro="" textlink="">
            <xdr:nvSpPr>
              <xdr:cNvPr id="1458" name="Scroll Bar 434" hidden="1">
                <a:extLst>
                  <a:ext uri="{63B3BB69-23CF-44E3-9099-C40C66FF867C}">
                    <a14:compatExt spid="_x0000_s1458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459" name="Scroll Bar 435" hidden="1">
                <a:extLst>
                  <a:ext uri="{63B3BB69-23CF-44E3-9099-C40C66FF867C}">
                    <a14:compatExt spid="_x0000_s1459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460" name="Scroll Bar 436" hidden="1">
                <a:extLst>
                  <a:ext uri="{63B3BB69-23CF-44E3-9099-C40C66FF867C}">
                    <a14:compatExt spid="_x0000_s1460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461" name="Scroll Bar 437" hidden="1">
                <a:extLst>
                  <a:ext uri="{63B3BB69-23CF-44E3-9099-C40C66FF867C}">
                    <a14:compatExt spid="_x0000_s1461"/>
                  </a:ext>
                </a:extLst>
              </xdr:cNvPr>
              <xdr:cNvSpPr/>
            </xdr:nvSpPr>
            <xdr:spPr>
              <a:xfrm>
                <a:off x="415" y="0"/>
                <a:ext cx="145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0</xdr:rowOff>
        </xdr:from>
        <xdr:to>
          <xdr:col>5</xdr:col>
          <xdr:colOff>1314450</xdr:colOff>
          <xdr:row>0</xdr:row>
          <xdr:rowOff>0</xdr:rowOff>
        </xdr:to>
        <xdr:sp macro="" textlink="">
          <xdr:nvSpPr>
            <xdr:cNvPr id="1485" name="Scroll Bar 461" hidden="1">
              <a:extLst>
                <a:ext uri="{63B3BB69-23CF-44E3-9099-C40C66FF867C}">
                  <a14:compatExt spid="_x0000_s14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0</xdr:rowOff>
        </xdr:from>
        <xdr:to>
          <xdr:col>5</xdr:col>
          <xdr:colOff>1314450</xdr:colOff>
          <xdr:row>0</xdr:row>
          <xdr:rowOff>0</xdr:rowOff>
        </xdr:to>
        <xdr:sp macro="" textlink="">
          <xdr:nvSpPr>
            <xdr:cNvPr id="1486" name="Scroll Bar 462" hidden="1">
              <a:extLst>
                <a:ext uri="{63B3BB69-23CF-44E3-9099-C40C66FF867C}">
                  <a14:compatExt spid="_x0000_s14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0</xdr:rowOff>
        </xdr:from>
        <xdr:to>
          <xdr:col>5</xdr:col>
          <xdr:colOff>1314450</xdr:colOff>
          <xdr:row>0</xdr:row>
          <xdr:rowOff>0</xdr:rowOff>
        </xdr:to>
        <xdr:sp macro="" textlink="">
          <xdr:nvSpPr>
            <xdr:cNvPr id="1487" name="Scroll Bar 463" hidden="1">
              <a:extLst>
                <a:ext uri="{63B3BB69-23CF-44E3-9099-C40C66FF867C}">
                  <a14:compatExt spid="_x0000_s1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0</xdr:rowOff>
        </xdr:from>
        <xdr:to>
          <xdr:col>5</xdr:col>
          <xdr:colOff>1314450</xdr:colOff>
          <xdr:row>0</xdr:row>
          <xdr:rowOff>0</xdr:rowOff>
        </xdr:to>
        <xdr:sp macro="" textlink="">
          <xdr:nvSpPr>
            <xdr:cNvPr id="1488" name="Scroll Bar 464" hidden="1">
              <a:extLst>
                <a:ext uri="{63B3BB69-23CF-44E3-9099-C40C66FF867C}">
                  <a14:compatExt spid="_x0000_s14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0</xdr:row>
          <xdr:rowOff>0</xdr:rowOff>
        </xdr:from>
        <xdr:to>
          <xdr:col>2</xdr:col>
          <xdr:colOff>1295400</xdr:colOff>
          <xdr:row>0</xdr:row>
          <xdr:rowOff>0</xdr:rowOff>
        </xdr:to>
        <xdr:grpSp>
          <xdr:nvGrpSpPr>
            <xdr:cNvPr id="2082786" name="Group 470"/>
            <xdr:cNvGrpSpPr>
              <a:grpSpLocks/>
            </xdr:cNvGrpSpPr>
          </xdr:nvGrpSpPr>
          <xdr:grpSpPr bwMode="auto">
            <a:xfrm>
              <a:off x="2177303" y="0"/>
              <a:ext cx="1123950" cy="0"/>
              <a:chOff x="129" y="0"/>
              <a:chExt cx="2739222" cy="0"/>
            </a:xfrm>
          </xdr:grpSpPr>
          <xdr:sp macro="" textlink="">
            <xdr:nvSpPr>
              <xdr:cNvPr id="1495" name="Scroll Bar 471" hidden="1">
                <a:extLst>
                  <a:ext uri="{63B3BB69-23CF-44E3-9099-C40C66FF867C}">
                    <a14:compatExt spid="_x0000_s1495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496" name="Scroll Bar 472" hidden="1">
                <a:extLst>
                  <a:ext uri="{63B3BB69-23CF-44E3-9099-C40C66FF867C}">
                    <a14:compatExt spid="_x0000_s1496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497" name="Scroll Bar 473" hidden="1">
                <a:extLst>
                  <a:ext uri="{63B3BB69-23CF-44E3-9099-C40C66FF867C}">
                    <a14:compatExt spid="_x0000_s1497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498" name="Scroll Bar 474" hidden="1">
                <a:extLst>
                  <a:ext uri="{63B3BB69-23CF-44E3-9099-C40C66FF867C}">
                    <a14:compatExt spid="_x0000_s1498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499" name="Scroll Bar 475" hidden="1">
                <a:extLst>
                  <a:ext uri="{63B3BB69-23CF-44E3-9099-C40C66FF867C}">
                    <a14:compatExt spid="_x0000_s1499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500" name="Scroll Bar 476" hidden="1">
                <a:extLst>
                  <a:ext uri="{63B3BB69-23CF-44E3-9099-C40C66FF867C}">
                    <a14:compatExt spid="_x0000_s1500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501" name="Scroll Bar 477" hidden="1">
                <a:extLst>
                  <a:ext uri="{63B3BB69-23CF-44E3-9099-C40C66FF867C}">
                    <a14:compatExt spid="_x0000_s1501"/>
                  </a:ext>
                </a:extLst>
              </xdr:cNvPr>
              <xdr:cNvSpPr/>
            </xdr:nvSpPr>
            <xdr:spPr>
              <a:xfrm>
                <a:off x="129" y="0"/>
                <a:ext cx="144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133350</xdr:colOff>
          <xdr:row>0</xdr:row>
          <xdr:rowOff>0</xdr:rowOff>
        </xdr:from>
        <xdr:to>
          <xdr:col>5</xdr:col>
          <xdr:colOff>1314450</xdr:colOff>
          <xdr:row>0</xdr:row>
          <xdr:rowOff>0</xdr:rowOff>
        </xdr:to>
        <xdr:grpSp>
          <xdr:nvGrpSpPr>
            <xdr:cNvPr id="2082787" name="Group 478"/>
            <xdr:cNvGrpSpPr>
              <a:grpSpLocks/>
            </xdr:cNvGrpSpPr>
          </xdr:nvGrpSpPr>
          <xdr:grpSpPr bwMode="auto">
            <a:xfrm>
              <a:off x="5512174" y="0"/>
              <a:ext cx="1181100" cy="0"/>
              <a:chOff x="389" y="0"/>
              <a:chExt cx="6102408" cy="0"/>
            </a:xfrm>
          </xdr:grpSpPr>
          <xdr:sp macro="" textlink="">
            <xdr:nvSpPr>
              <xdr:cNvPr id="1503" name="Scroll Bar 479" hidden="1">
                <a:extLst>
                  <a:ext uri="{63B3BB69-23CF-44E3-9099-C40C66FF867C}">
                    <a14:compatExt spid="_x0000_s1503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504" name="Scroll Bar 480" hidden="1">
                <a:extLst>
                  <a:ext uri="{63B3BB69-23CF-44E3-9099-C40C66FF867C}">
                    <a14:compatExt spid="_x0000_s1504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505" name="Scroll Bar 481" hidden="1">
                <a:extLst>
                  <a:ext uri="{63B3BB69-23CF-44E3-9099-C40C66FF867C}">
                    <a14:compatExt spid="_x0000_s1505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506" name="Scroll Bar 482" hidden="1">
                <a:extLst>
                  <a:ext uri="{63B3BB69-23CF-44E3-9099-C40C66FF867C}">
                    <a14:compatExt spid="_x0000_s1506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507" name="Scroll Bar 483" hidden="1">
                <a:extLst>
                  <a:ext uri="{63B3BB69-23CF-44E3-9099-C40C66FF867C}">
                    <a14:compatExt spid="_x0000_s1507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508" name="Scroll Bar 484" hidden="1">
                <a:extLst>
                  <a:ext uri="{63B3BB69-23CF-44E3-9099-C40C66FF867C}">
                    <a14:compatExt spid="_x0000_s1508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509" name="Scroll Bar 485" hidden="1">
                <a:extLst>
                  <a:ext uri="{63B3BB69-23CF-44E3-9099-C40C66FF867C}">
                    <a14:compatExt spid="_x0000_s1509"/>
                  </a:ext>
                </a:extLst>
              </xdr:cNvPr>
              <xdr:cNvSpPr/>
            </xdr:nvSpPr>
            <xdr:spPr>
              <a:xfrm>
                <a:off x="389" y="0"/>
                <a:ext cx="145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0</xdr:row>
          <xdr:rowOff>0</xdr:rowOff>
        </xdr:from>
        <xdr:to>
          <xdr:col>2</xdr:col>
          <xdr:colOff>1295400</xdr:colOff>
          <xdr:row>0</xdr:row>
          <xdr:rowOff>0</xdr:rowOff>
        </xdr:to>
        <xdr:grpSp>
          <xdr:nvGrpSpPr>
            <xdr:cNvPr id="2082788" name="Group 487"/>
            <xdr:cNvGrpSpPr>
              <a:grpSpLocks/>
            </xdr:cNvGrpSpPr>
          </xdr:nvGrpSpPr>
          <xdr:grpSpPr bwMode="auto">
            <a:xfrm>
              <a:off x="2177303" y="0"/>
              <a:ext cx="1123950" cy="0"/>
              <a:chOff x="221" y="0"/>
              <a:chExt cx="2739129" cy="0"/>
            </a:xfrm>
          </xdr:grpSpPr>
          <xdr:sp macro="" textlink="">
            <xdr:nvSpPr>
              <xdr:cNvPr id="1512" name="Scroll Bar 488" hidden="1">
                <a:extLst>
                  <a:ext uri="{63B3BB69-23CF-44E3-9099-C40C66FF867C}">
                    <a14:compatExt spid="_x0000_s1512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513" name="Scroll Bar 489" hidden="1">
                <a:extLst>
                  <a:ext uri="{63B3BB69-23CF-44E3-9099-C40C66FF867C}">
                    <a14:compatExt spid="_x0000_s1513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514" name="Scroll Bar 490" hidden="1">
                <a:extLst>
                  <a:ext uri="{63B3BB69-23CF-44E3-9099-C40C66FF867C}">
                    <a14:compatExt spid="_x0000_s1514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515" name="Scroll Bar 491" hidden="1">
                <a:extLst>
                  <a:ext uri="{63B3BB69-23CF-44E3-9099-C40C66FF867C}">
                    <a14:compatExt spid="_x0000_s1515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516" name="Scroll Bar 492" hidden="1">
                <a:extLst>
                  <a:ext uri="{63B3BB69-23CF-44E3-9099-C40C66FF867C}">
                    <a14:compatExt spid="_x0000_s1516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517" name="Scroll Bar 493" hidden="1">
                <a:extLst>
                  <a:ext uri="{63B3BB69-23CF-44E3-9099-C40C66FF867C}">
                    <a14:compatExt spid="_x0000_s1517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518" name="Scroll Bar 494" hidden="1">
                <a:extLst>
                  <a:ext uri="{63B3BB69-23CF-44E3-9099-C40C66FF867C}">
                    <a14:compatExt spid="_x0000_s1518"/>
                  </a:ext>
                </a:extLst>
              </xdr:cNvPr>
              <xdr:cNvSpPr/>
            </xdr:nvSpPr>
            <xdr:spPr>
              <a:xfrm>
                <a:off x="221" y="0"/>
                <a:ext cx="144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133350</xdr:colOff>
          <xdr:row>0</xdr:row>
          <xdr:rowOff>0</xdr:rowOff>
        </xdr:from>
        <xdr:to>
          <xdr:col>5</xdr:col>
          <xdr:colOff>1314450</xdr:colOff>
          <xdr:row>0</xdr:row>
          <xdr:rowOff>0</xdr:rowOff>
        </xdr:to>
        <xdr:grpSp>
          <xdr:nvGrpSpPr>
            <xdr:cNvPr id="2082789" name="Group 495"/>
            <xdr:cNvGrpSpPr>
              <a:grpSpLocks/>
            </xdr:cNvGrpSpPr>
          </xdr:nvGrpSpPr>
          <xdr:grpSpPr bwMode="auto">
            <a:xfrm>
              <a:off x="5512174" y="0"/>
              <a:ext cx="1181100" cy="0"/>
              <a:chOff x="399" y="0"/>
              <a:chExt cx="6102398" cy="0"/>
            </a:xfrm>
          </xdr:grpSpPr>
          <xdr:sp macro="" textlink="">
            <xdr:nvSpPr>
              <xdr:cNvPr id="1520" name="Scroll Bar 496" hidden="1">
                <a:extLst>
                  <a:ext uri="{63B3BB69-23CF-44E3-9099-C40C66FF867C}">
                    <a14:compatExt spid="_x0000_s1520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521" name="Scroll Bar 497" hidden="1">
                <a:extLst>
                  <a:ext uri="{63B3BB69-23CF-44E3-9099-C40C66FF867C}">
                    <a14:compatExt spid="_x0000_s1521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522" name="Scroll Bar 498" hidden="1">
                <a:extLst>
                  <a:ext uri="{63B3BB69-23CF-44E3-9099-C40C66FF867C}">
                    <a14:compatExt spid="_x0000_s1522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523" name="Scroll Bar 499" hidden="1">
                <a:extLst>
                  <a:ext uri="{63B3BB69-23CF-44E3-9099-C40C66FF867C}">
                    <a14:compatExt spid="_x0000_s1523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524" name="Scroll Bar 500" hidden="1">
                <a:extLst>
                  <a:ext uri="{63B3BB69-23CF-44E3-9099-C40C66FF867C}">
                    <a14:compatExt spid="_x0000_s1524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525" name="Scroll Bar 501" hidden="1">
                <a:extLst>
                  <a:ext uri="{63B3BB69-23CF-44E3-9099-C40C66FF867C}">
                    <a14:compatExt spid="_x0000_s1525"/>
                  </a:ext>
                </a:extLst>
              </xdr:cNvPr>
              <xdr:cNvSpPr/>
            </xdr:nvSpPr>
            <xdr:spPr>
              <a:xfrm>
                <a:off x="6102652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526" name="Scroll Bar 502" hidden="1">
                <a:extLst>
                  <a:ext uri="{63B3BB69-23CF-44E3-9099-C40C66FF867C}">
                    <a14:compatExt spid="_x0000_s1526"/>
                  </a:ext>
                </a:extLst>
              </xdr:cNvPr>
              <xdr:cNvSpPr/>
            </xdr:nvSpPr>
            <xdr:spPr>
              <a:xfrm>
                <a:off x="399" y="0"/>
                <a:ext cx="145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0</xdr:row>
          <xdr:rowOff>0</xdr:rowOff>
        </xdr:from>
        <xdr:to>
          <xdr:col>2</xdr:col>
          <xdr:colOff>1295400</xdr:colOff>
          <xdr:row>0</xdr:row>
          <xdr:rowOff>0</xdr:rowOff>
        </xdr:to>
        <xdr:grpSp>
          <xdr:nvGrpSpPr>
            <xdr:cNvPr id="2082790" name="Group 504"/>
            <xdr:cNvGrpSpPr>
              <a:grpSpLocks/>
            </xdr:cNvGrpSpPr>
          </xdr:nvGrpSpPr>
          <xdr:grpSpPr bwMode="auto">
            <a:xfrm>
              <a:off x="2177303" y="0"/>
              <a:ext cx="1123950" cy="0"/>
              <a:chOff x="221" y="0"/>
              <a:chExt cx="2739129" cy="0"/>
            </a:xfrm>
          </xdr:grpSpPr>
          <xdr:sp macro="" textlink="">
            <xdr:nvSpPr>
              <xdr:cNvPr id="1529" name="Scroll Bar 505" hidden="1">
                <a:extLst>
                  <a:ext uri="{63B3BB69-23CF-44E3-9099-C40C66FF867C}">
                    <a14:compatExt spid="_x0000_s1529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530" name="Scroll Bar 506" hidden="1">
                <a:extLst>
                  <a:ext uri="{63B3BB69-23CF-44E3-9099-C40C66FF867C}">
                    <a14:compatExt spid="_x0000_s1530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531" name="Scroll Bar 507" hidden="1">
                <a:extLst>
                  <a:ext uri="{63B3BB69-23CF-44E3-9099-C40C66FF867C}">
                    <a14:compatExt spid="_x0000_s1531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532" name="Scroll Bar 508" hidden="1">
                <a:extLst>
                  <a:ext uri="{63B3BB69-23CF-44E3-9099-C40C66FF867C}">
                    <a14:compatExt spid="_x0000_s1532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533" name="Scroll Bar 509" hidden="1">
                <a:extLst>
                  <a:ext uri="{63B3BB69-23CF-44E3-9099-C40C66FF867C}">
                    <a14:compatExt spid="_x0000_s1533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534" name="Scroll Bar 510" hidden="1">
                <a:extLst>
                  <a:ext uri="{63B3BB69-23CF-44E3-9099-C40C66FF867C}">
                    <a14:compatExt spid="_x0000_s1534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535" name="Scroll Bar 511" hidden="1">
                <a:extLst>
                  <a:ext uri="{63B3BB69-23CF-44E3-9099-C40C66FF867C}">
                    <a14:compatExt spid="_x0000_s1535"/>
                  </a:ext>
                </a:extLst>
              </xdr:cNvPr>
              <xdr:cNvSpPr/>
            </xdr:nvSpPr>
            <xdr:spPr>
              <a:xfrm>
                <a:off x="221" y="0"/>
                <a:ext cx="144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0</xdr:row>
          <xdr:rowOff>0</xdr:rowOff>
        </xdr:from>
        <xdr:to>
          <xdr:col>2</xdr:col>
          <xdr:colOff>1295400</xdr:colOff>
          <xdr:row>0</xdr:row>
          <xdr:rowOff>0</xdr:rowOff>
        </xdr:to>
        <xdr:grpSp>
          <xdr:nvGrpSpPr>
            <xdr:cNvPr id="2082791" name="Group 521"/>
            <xdr:cNvGrpSpPr>
              <a:grpSpLocks/>
            </xdr:cNvGrpSpPr>
          </xdr:nvGrpSpPr>
          <xdr:grpSpPr bwMode="auto">
            <a:xfrm>
              <a:off x="2177303" y="0"/>
              <a:ext cx="1123950" cy="0"/>
              <a:chOff x="221" y="0"/>
              <a:chExt cx="2739129" cy="0"/>
            </a:xfrm>
          </xdr:grpSpPr>
          <xdr:sp macro="" textlink="">
            <xdr:nvSpPr>
              <xdr:cNvPr id="1546" name="Scroll Bar 522" hidden="1">
                <a:extLst>
                  <a:ext uri="{63B3BB69-23CF-44E3-9099-C40C66FF867C}">
                    <a14:compatExt spid="_x0000_s1546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547" name="Scroll Bar 523" hidden="1">
                <a:extLst>
                  <a:ext uri="{63B3BB69-23CF-44E3-9099-C40C66FF867C}">
                    <a14:compatExt spid="_x0000_s1547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548" name="Scroll Bar 524" hidden="1">
                <a:extLst>
                  <a:ext uri="{63B3BB69-23CF-44E3-9099-C40C66FF867C}">
                    <a14:compatExt spid="_x0000_s1548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549" name="Scroll Bar 525" hidden="1">
                <a:extLst>
                  <a:ext uri="{63B3BB69-23CF-44E3-9099-C40C66FF867C}">
                    <a14:compatExt spid="_x0000_s1549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550" name="Scroll Bar 526" hidden="1">
                <a:extLst>
                  <a:ext uri="{63B3BB69-23CF-44E3-9099-C40C66FF867C}">
                    <a14:compatExt spid="_x0000_s1550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551" name="Scroll Bar 527" hidden="1">
                <a:extLst>
                  <a:ext uri="{63B3BB69-23CF-44E3-9099-C40C66FF867C}">
                    <a14:compatExt spid="_x0000_s1551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552" name="Scroll Bar 528" hidden="1">
                <a:extLst>
                  <a:ext uri="{63B3BB69-23CF-44E3-9099-C40C66FF867C}">
                    <a14:compatExt spid="_x0000_s1552"/>
                  </a:ext>
                </a:extLst>
              </xdr:cNvPr>
              <xdr:cNvSpPr/>
            </xdr:nvSpPr>
            <xdr:spPr>
              <a:xfrm>
                <a:off x="221" y="0"/>
                <a:ext cx="144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0</xdr:row>
          <xdr:rowOff>0</xdr:rowOff>
        </xdr:from>
        <xdr:to>
          <xdr:col>2</xdr:col>
          <xdr:colOff>1295400</xdr:colOff>
          <xdr:row>0</xdr:row>
          <xdr:rowOff>0</xdr:rowOff>
        </xdr:to>
        <xdr:grpSp>
          <xdr:nvGrpSpPr>
            <xdr:cNvPr id="2082792" name="Group 541"/>
            <xdr:cNvGrpSpPr>
              <a:grpSpLocks/>
            </xdr:cNvGrpSpPr>
          </xdr:nvGrpSpPr>
          <xdr:grpSpPr bwMode="auto">
            <a:xfrm>
              <a:off x="2177303" y="0"/>
              <a:ext cx="1123950" cy="0"/>
              <a:chOff x="237" y="0"/>
              <a:chExt cx="2739114" cy="0"/>
            </a:xfrm>
          </xdr:grpSpPr>
          <xdr:sp macro="" textlink="">
            <xdr:nvSpPr>
              <xdr:cNvPr id="1566" name="Scroll Bar 542" hidden="1">
                <a:extLst>
                  <a:ext uri="{63B3BB69-23CF-44E3-9099-C40C66FF867C}">
                    <a14:compatExt spid="_x0000_s1566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567" name="Scroll Bar 543" hidden="1">
                <a:extLst>
                  <a:ext uri="{63B3BB69-23CF-44E3-9099-C40C66FF867C}">
                    <a14:compatExt spid="_x0000_s1567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568" name="Scroll Bar 544" hidden="1">
                <a:extLst>
                  <a:ext uri="{63B3BB69-23CF-44E3-9099-C40C66FF867C}">
                    <a14:compatExt spid="_x0000_s1568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569" name="Scroll Bar 545" hidden="1">
                <a:extLst>
                  <a:ext uri="{63B3BB69-23CF-44E3-9099-C40C66FF867C}">
                    <a14:compatExt spid="_x0000_s1569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570" name="Scroll Bar 546" hidden="1">
                <a:extLst>
                  <a:ext uri="{63B3BB69-23CF-44E3-9099-C40C66FF867C}">
                    <a14:compatExt spid="_x0000_s1570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571" name="Scroll Bar 547" hidden="1">
                <a:extLst>
                  <a:ext uri="{63B3BB69-23CF-44E3-9099-C40C66FF867C}">
                    <a14:compatExt spid="_x0000_s1571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572" name="Scroll Bar 548" hidden="1">
                <a:extLst>
                  <a:ext uri="{63B3BB69-23CF-44E3-9099-C40C66FF867C}">
                    <a14:compatExt spid="_x0000_s1572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573" name="Scroll Bar 549" hidden="1">
                <a:extLst>
                  <a:ext uri="{63B3BB69-23CF-44E3-9099-C40C66FF867C}">
                    <a14:compatExt spid="_x0000_s1573"/>
                  </a:ext>
                </a:extLst>
              </xdr:cNvPr>
              <xdr:cNvSpPr/>
            </xdr:nvSpPr>
            <xdr:spPr>
              <a:xfrm>
                <a:off x="237" y="0"/>
                <a:ext cx="144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0</xdr:row>
          <xdr:rowOff>0</xdr:rowOff>
        </xdr:from>
        <xdr:to>
          <xdr:col>2</xdr:col>
          <xdr:colOff>1295400</xdr:colOff>
          <xdr:row>0</xdr:row>
          <xdr:rowOff>0</xdr:rowOff>
        </xdr:to>
        <xdr:grpSp>
          <xdr:nvGrpSpPr>
            <xdr:cNvPr id="2082793" name="Group 561"/>
            <xdr:cNvGrpSpPr>
              <a:grpSpLocks/>
            </xdr:cNvGrpSpPr>
          </xdr:nvGrpSpPr>
          <xdr:grpSpPr bwMode="auto">
            <a:xfrm>
              <a:off x="2177303" y="0"/>
              <a:ext cx="1123950" cy="0"/>
              <a:chOff x="221" y="0"/>
              <a:chExt cx="2739129" cy="0"/>
            </a:xfrm>
          </xdr:grpSpPr>
          <xdr:sp macro="" textlink="">
            <xdr:nvSpPr>
              <xdr:cNvPr id="1586" name="Scroll Bar 562" hidden="1">
                <a:extLst>
                  <a:ext uri="{63B3BB69-23CF-44E3-9099-C40C66FF867C}">
                    <a14:compatExt spid="_x0000_s1586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587" name="Scroll Bar 563" hidden="1">
                <a:extLst>
                  <a:ext uri="{63B3BB69-23CF-44E3-9099-C40C66FF867C}">
                    <a14:compatExt spid="_x0000_s1587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588" name="Scroll Bar 564" hidden="1">
                <a:extLst>
                  <a:ext uri="{63B3BB69-23CF-44E3-9099-C40C66FF867C}">
                    <a14:compatExt spid="_x0000_s1588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589" name="Scroll Bar 565" hidden="1">
                <a:extLst>
                  <a:ext uri="{63B3BB69-23CF-44E3-9099-C40C66FF867C}">
                    <a14:compatExt spid="_x0000_s1589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590" name="Scroll Bar 566" hidden="1">
                <a:extLst>
                  <a:ext uri="{63B3BB69-23CF-44E3-9099-C40C66FF867C}">
                    <a14:compatExt spid="_x0000_s1590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591" name="Scroll Bar 567" hidden="1">
                <a:extLst>
                  <a:ext uri="{63B3BB69-23CF-44E3-9099-C40C66FF867C}">
                    <a14:compatExt spid="_x0000_s1591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592" name="Scroll Bar 568" hidden="1">
                <a:extLst>
                  <a:ext uri="{63B3BB69-23CF-44E3-9099-C40C66FF867C}">
                    <a14:compatExt spid="_x0000_s1592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593" name="Scroll Bar 569" hidden="1">
                <a:extLst>
                  <a:ext uri="{63B3BB69-23CF-44E3-9099-C40C66FF867C}">
                    <a14:compatExt spid="_x0000_s1593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594" name="Scroll Bar 570" hidden="1">
                <a:extLst>
                  <a:ext uri="{63B3BB69-23CF-44E3-9099-C40C66FF867C}">
                    <a14:compatExt spid="_x0000_s1594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595" name="Scroll Bar 571" hidden="1">
                <a:extLst>
                  <a:ext uri="{63B3BB69-23CF-44E3-9099-C40C66FF867C}">
                    <a14:compatExt spid="_x0000_s1595"/>
                  </a:ext>
                </a:extLst>
              </xdr:cNvPr>
              <xdr:cNvSpPr/>
            </xdr:nvSpPr>
            <xdr:spPr>
              <a:xfrm>
                <a:off x="221" y="0"/>
                <a:ext cx="144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0</xdr:row>
          <xdr:rowOff>0</xdr:rowOff>
        </xdr:from>
        <xdr:to>
          <xdr:col>2</xdr:col>
          <xdr:colOff>1295400</xdr:colOff>
          <xdr:row>0</xdr:row>
          <xdr:rowOff>0</xdr:rowOff>
        </xdr:to>
        <xdr:grpSp>
          <xdr:nvGrpSpPr>
            <xdr:cNvPr id="2082794" name="Group 601"/>
            <xdr:cNvGrpSpPr>
              <a:grpSpLocks/>
            </xdr:cNvGrpSpPr>
          </xdr:nvGrpSpPr>
          <xdr:grpSpPr bwMode="auto">
            <a:xfrm>
              <a:off x="2177303" y="0"/>
              <a:ext cx="1123950" cy="0"/>
              <a:chOff x="221" y="0"/>
              <a:chExt cx="2739129" cy="0"/>
            </a:xfrm>
          </xdr:grpSpPr>
          <xdr:sp macro="" textlink="">
            <xdr:nvSpPr>
              <xdr:cNvPr id="1626" name="Scroll Bar 602" hidden="1">
                <a:extLst>
                  <a:ext uri="{63B3BB69-23CF-44E3-9099-C40C66FF867C}">
                    <a14:compatExt spid="_x0000_s1626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627" name="Scroll Bar 603" hidden="1">
                <a:extLst>
                  <a:ext uri="{63B3BB69-23CF-44E3-9099-C40C66FF867C}">
                    <a14:compatExt spid="_x0000_s1627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628" name="Scroll Bar 604" hidden="1">
                <a:extLst>
                  <a:ext uri="{63B3BB69-23CF-44E3-9099-C40C66FF867C}">
                    <a14:compatExt spid="_x0000_s1628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629" name="Scroll Bar 605" hidden="1">
                <a:extLst>
                  <a:ext uri="{63B3BB69-23CF-44E3-9099-C40C66FF867C}">
                    <a14:compatExt spid="_x0000_s1629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630" name="Scroll Bar 606" hidden="1">
                <a:extLst>
                  <a:ext uri="{63B3BB69-23CF-44E3-9099-C40C66FF867C}">
                    <a14:compatExt spid="_x0000_s1630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631" name="Scroll Bar 607" hidden="1">
                <a:extLst>
                  <a:ext uri="{63B3BB69-23CF-44E3-9099-C40C66FF867C}">
                    <a14:compatExt spid="_x0000_s1631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632" name="Scroll Bar 608" hidden="1">
                <a:extLst>
                  <a:ext uri="{63B3BB69-23CF-44E3-9099-C40C66FF867C}">
                    <a14:compatExt spid="_x0000_s1632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633" name="Scroll Bar 609" hidden="1">
                <a:extLst>
                  <a:ext uri="{63B3BB69-23CF-44E3-9099-C40C66FF867C}">
                    <a14:compatExt spid="_x0000_s1633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634" name="Scroll Bar 610" hidden="1">
                <a:extLst>
                  <a:ext uri="{63B3BB69-23CF-44E3-9099-C40C66FF867C}">
                    <a14:compatExt spid="_x0000_s1634"/>
                  </a:ext>
                </a:extLst>
              </xdr:cNvPr>
              <xdr:cNvSpPr/>
            </xdr:nvSpPr>
            <xdr:spPr>
              <a:xfrm>
                <a:off x="2739206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635" name="Scroll Bar 611" hidden="1">
                <a:extLst>
                  <a:ext uri="{63B3BB69-23CF-44E3-9099-C40C66FF867C}">
                    <a14:compatExt spid="_x0000_s1635"/>
                  </a:ext>
                </a:extLst>
              </xdr:cNvPr>
              <xdr:cNvSpPr/>
            </xdr:nvSpPr>
            <xdr:spPr>
              <a:xfrm>
                <a:off x="221" y="0"/>
                <a:ext cx="144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0</xdr:row>
          <xdr:rowOff>0</xdr:rowOff>
        </xdr:from>
        <xdr:to>
          <xdr:col>2</xdr:col>
          <xdr:colOff>1295400</xdr:colOff>
          <xdr:row>0</xdr:row>
          <xdr:rowOff>0</xdr:rowOff>
        </xdr:to>
        <xdr:grpSp>
          <xdr:nvGrpSpPr>
            <xdr:cNvPr id="2082795" name="Group 626"/>
            <xdr:cNvGrpSpPr>
              <a:grpSpLocks/>
            </xdr:cNvGrpSpPr>
          </xdr:nvGrpSpPr>
          <xdr:grpSpPr bwMode="auto">
            <a:xfrm>
              <a:off x="2167778" y="0"/>
              <a:ext cx="1133475" cy="0"/>
              <a:chOff x="220" y="0"/>
              <a:chExt cx="2734369" cy="0"/>
            </a:xfrm>
          </xdr:grpSpPr>
          <xdr:sp macro="" textlink="">
            <xdr:nvSpPr>
              <xdr:cNvPr id="1651" name="Scroll Bar 627" hidden="1">
                <a:extLst>
                  <a:ext uri="{63B3BB69-23CF-44E3-9099-C40C66FF867C}">
                    <a14:compatExt spid="_x0000_s1651"/>
                  </a:ext>
                </a:extLst>
              </xdr:cNvPr>
              <xdr:cNvSpPr/>
            </xdr:nvSpPr>
            <xdr:spPr>
              <a:xfrm>
                <a:off x="2734442" y="0"/>
                <a:ext cx="147" cy="0"/>
              </a:xfrm>
              <a:prstGeom prst="rect">
                <a:avLst/>
              </a:prstGeom>
            </xdr:spPr>
          </xdr:sp>
          <xdr:sp macro="" textlink="">
            <xdr:nvSpPr>
              <xdr:cNvPr id="1652" name="Scroll Bar 628" hidden="1">
                <a:extLst>
                  <a:ext uri="{63B3BB69-23CF-44E3-9099-C40C66FF867C}">
                    <a14:compatExt spid="_x0000_s1652"/>
                  </a:ext>
                </a:extLst>
              </xdr:cNvPr>
              <xdr:cNvSpPr/>
            </xdr:nvSpPr>
            <xdr:spPr>
              <a:xfrm>
                <a:off x="2734442" y="0"/>
                <a:ext cx="147" cy="0"/>
              </a:xfrm>
              <a:prstGeom prst="rect">
                <a:avLst/>
              </a:prstGeom>
            </xdr:spPr>
          </xdr:sp>
          <xdr:sp macro="" textlink="">
            <xdr:nvSpPr>
              <xdr:cNvPr id="1653" name="Scroll Bar 629" hidden="1">
                <a:extLst>
                  <a:ext uri="{63B3BB69-23CF-44E3-9099-C40C66FF867C}">
                    <a14:compatExt spid="_x0000_s1653"/>
                  </a:ext>
                </a:extLst>
              </xdr:cNvPr>
              <xdr:cNvSpPr/>
            </xdr:nvSpPr>
            <xdr:spPr>
              <a:xfrm>
                <a:off x="2734442" y="0"/>
                <a:ext cx="147" cy="0"/>
              </a:xfrm>
              <a:prstGeom prst="rect">
                <a:avLst/>
              </a:prstGeom>
            </xdr:spPr>
          </xdr:sp>
          <xdr:sp macro="" textlink="">
            <xdr:nvSpPr>
              <xdr:cNvPr id="1654" name="Scroll Bar 630" hidden="1">
                <a:extLst>
                  <a:ext uri="{63B3BB69-23CF-44E3-9099-C40C66FF867C}">
                    <a14:compatExt spid="_x0000_s1654"/>
                  </a:ext>
                </a:extLst>
              </xdr:cNvPr>
              <xdr:cNvSpPr/>
            </xdr:nvSpPr>
            <xdr:spPr>
              <a:xfrm>
                <a:off x="220" y="0"/>
                <a:ext cx="147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0</xdr:rowOff>
        </xdr:from>
        <xdr:to>
          <xdr:col>5</xdr:col>
          <xdr:colOff>1314450</xdr:colOff>
          <xdr:row>0</xdr:row>
          <xdr:rowOff>0</xdr:rowOff>
        </xdr:to>
        <xdr:grpSp>
          <xdr:nvGrpSpPr>
            <xdr:cNvPr id="2082796" name="Group 631"/>
            <xdr:cNvGrpSpPr>
              <a:grpSpLocks/>
            </xdr:cNvGrpSpPr>
          </xdr:nvGrpSpPr>
          <xdr:grpSpPr bwMode="auto">
            <a:xfrm>
              <a:off x="5502649" y="0"/>
              <a:ext cx="1190625" cy="0"/>
              <a:chOff x="395" y="0"/>
              <a:chExt cx="6097640" cy="0"/>
            </a:xfrm>
          </xdr:grpSpPr>
          <xdr:sp macro="" textlink="">
            <xdr:nvSpPr>
              <xdr:cNvPr id="1656" name="Scroll Bar 632" hidden="1">
                <a:extLst>
                  <a:ext uri="{63B3BB69-23CF-44E3-9099-C40C66FF867C}">
                    <a14:compatExt spid="_x0000_s1656"/>
                  </a:ext>
                </a:extLst>
              </xdr:cNvPr>
              <xdr:cNvSpPr/>
            </xdr:nvSpPr>
            <xdr:spPr>
              <a:xfrm>
                <a:off x="6097886" y="0"/>
                <a:ext cx="149" cy="0"/>
              </a:xfrm>
              <a:prstGeom prst="rect">
                <a:avLst/>
              </a:prstGeom>
            </xdr:spPr>
          </xdr:sp>
          <xdr:sp macro="" textlink="">
            <xdr:nvSpPr>
              <xdr:cNvPr id="1657" name="Scroll Bar 633" hidden="1">
                <a:extLst>
                  <a:ext uri="{63B3BB69-23CF-44E3-9099-C40C66FF867C}">
                    <a14:compatExt spid="_x0000_s1657"/>
                  </a:ext>
                </a:extLst>
              </xdr:cNvPr>
              <xdr:cNvSpPr/>
            </xdr:nvSpPr>
            <xdr:spPr>
              <a:xfrm>
                <a:off x="6097886" y="0"/>
                <a:ext cx="149" cy="0"/>
              </a:xfrm>
              <a:prstGeom prst="rect">
                <a:avLst/>
              </a:prstGeom>
            </xdr:spPr>
          </xdr:sp>
          <xdr:sp macro="" textlink="">
            <xdr:nvSpPr>
              <xdr:cNvPr id="1658" name="Scroll Bar 634" hidden="1">
                <a:extLst>
                  <a:ext uri="{63B3BB69-23CF-44E3-9099-C40C66FF867C}">
                    <a14:compatExt spid="_x0000_s1658"/>
                  </a:ext>
                </a:extLst>
              </xdr:cNvPr>
              <xdr:cNvSpPr/>
            </xdr:nvSpPr>
            <xdr:spPr>
              <a:xfrm>
                <a:off x="6097886" y="0"/>
                <a:ext cx="149" cy="0"/>
              </a:xfrm>
              <a:prstGeom prst="rect">
                <a:avLst/>
              </a:prstGeom>
            </xdr:spPr>
          </xdr:sp>
          <xdr:sp macro="" textlink="">
            <xdr:nvSpPr>
              <xdr:cNvPr id="1659" name="Scroll Bar 635" hidden="1">
                <a:extLst>
                  <a:ext uri="{63B3BB69-23CF-44E3-9099-C40C66FF867C}">
                    <a14:compatExt spid="_x0000_s1659"/>
                  </a:ext>
                </a:extLst>
              </xdr:cNvPr>
              <xdr:cNvSpPr/>
            </xdr:nvSpPr>
            <xdr:spPr>
              <a:xfrm>
                <a:off x="395" y="0"/>
                <a:ext cx="149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0</xdr:row>
          <xdr:rowOff>0</xdr:rowOff>
        </xdr:from>
        <xdr:to>
          <xdr:col>2</xdr:col>
          <xdr:colOff>1295400</xdr:colOff>
          <xdr:row>0</xdr:row>
          <xdr:rowOff>0</xdr:rowOff>
        </xdr:to>
        <xdr:grpSp>
          <xdr:nvGrpSpPr>
            <xdr:cNvPr id="2082797" name="Group 3461"/>
            <xdr:cNvGrpSpPr>
              <a:grpSpLocks/>
            </xdr:cNvGrpSpPr>
          </xdr:nvGrpSpPr>
          <xdr:grpSpPr bwMode="auto">
            <a:xfrm>
              <a:off x="2167778" y="0"/>
              <a:ext cx="1133475" cy="0"/>
              <a:chOff x="229" y="0"/>
              <a:chExt cx="146" cy="0"/>
            </a:xfrm>
          </xdr:grpSpPr>
          <xdr:sp macro="" textlink="">
            <xdr:nvSpPr>
              <xdr:cNvPr id="1678" name="Scroll Bar 654" hidden="1">
                <a:extLst>
                  <a:ext uri="{63B3BB69-23CF-44E3-9099-C40C66FF867C}">
                    <a14:compatExt spid="_x0000_s1678"/>
                  </a:ext>
                </a:extLst>
              </xdr:cNvPr>
              <xdr:cNvSpPr/>
            </xdr:nvSpPr>
            <xdr:spPr>
              <a:xfrm>
                <a:off x="229" y="0"/>
                <a:ext cx="146" cy="0"/>
              </a:xfrm>
              <a:prstGeom prst="rect">
                <a:avLst/>
              </a:prstGeom>
            </xdr:spPr>
          </xdr:sp>
          <xdr:sp macro="" textlink="">
            <xdr:nvSpPr>
              <xdr:cNvPr id="1679" name="Scroll Bar 655" hidden="1">
                <a:extLst>
                  <a:ext uri="{63B3BB69-23CF-44E3-9099-C40C66FF867C}">
                    <a14:compatExt spid="_x0000_s1679"/>
                  </a:ext>
                </a:extLst>
              </xdr:cNvPr>
              <xdr:cNvSpPr/>
            </xdr:nvSpPr>
            <xdr:spPr>
              <a:xfrm>
                <a:off x="229" y="0"/>
                <a:ext cx="146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0</xdr:row>
          <xdr:rowOff>0</xdr:rowOff>
        </xdr:from>
        <xdr:to>
          <xdr:col>2</xdr:col>
          <xdr:colOff>1295400</xdr:colOff>
          <xdr:row>0</xdr:row>
          <xdr:rowOff>0</xdr:rowOff>
        </xdr:to>
        <xdr:grpSp>
          <xdr:nvGrpSpPr>
            <xdr:cNvPr id="2082798" name="Group 664"/>
            <xdr:cNvGrpSpPr>
              <a:grpSpLocks/>
            </xdr:cNvGrpSpPr>
          </xdr:nvGrpSpPr>
          <xdr:grpSpPr bwMode="auto">
            <a:xfrm>
              <a:off x="2167778" y="0"/>
              <a:ext cx="1133475" cy="0"/>
              <a:chOff x="220" y="0"/>
              <a:chExt cx="2734369" cy="0"/>
            </a:xfrm>
          </xdr:grpSpPr>
          <xdr:sp macro="" textlink="">
            <xdr:nvSpPr>
              <xdr:cNvPr id="1689" name="Scroll Bar 665" hidden="1">
                <a:extLst>
                  <a:ext uri="{63B3BB69-23CF-44E3-9099-C40C66FF867C}">
                    <a14:compatExt spid="_x0000_s1689"/>
                  </a:ext>
                </a:extLst>
              </xdr:cNvPr>
              <xdr:cNvSpPr/>
            </xdr:nvSpPr>
            <xdr:spPr>
              <a:xfrm>
                <a:off x="2734442" y="0"/>
                <a:ext cx="147" cy="0"/>
              </a:xfrm>
              <a:prstGeom prst="rect">
                <a:avLst/>
              </a:prstGeom>
            </xdr:spPr>
          </xdr:sp>
          <xdr:sp macro="" textlink="">
            <xdr:nvSpPr>
              <xdr:cNvPr id="1690" name="Scroll Bar 666" hidden="1">
                <a:extLst>
                  <a:ext uri="{63B3BB69-23CF-44E3-9099-C40C66FF867C}">
                    <a14:compatExt spid="_x0000_s1690"/>
                  </a:ext>
                </a:extLst>
              </xdr:cNvPr>
              <xdr:cNvSpPr/>
            </xdr:nvSpPr>
            <xdr:spPr>
              <a:xfrm>
                <a:off x="2734442" y="0"/>
                <a:ext cx="147" cy="0"/>
              </a:xfrm>
              <a:prstGeom prst="rect">
                <a:avLst/>
              </a:prstGeom>
            </xdr:spPr>
          </xdr:sp>
          <xdr:sp macro="" textlink="">
            <xdr:nvSpPr>
              <xdr:cNvPr id="1691" name="Scroll Bar 667" hidden="1">
                <a:extLst>
                  <a:ext uri="{63B3BB69-23CF-44E3-9099-C40C66FF867C}">
                    <a14:compatExt spid="_x0000_s1691"/>
                  </a:ext>
                </a:extLst>
              </xdr:cNvPr>
              <xdr:cNvSpPr/>
            </xdr:nvSpPr>
            <xdr:spPr>
              <a:xfrm>
                <a:off x="2734442" y="0"/>
                <a:ext cx="147" cy="0"/>
              </a:xfrm>
              <a:prstGeom prst="rect">
                <a:avLst/>
              </a:prstGeom>
            </xdr:spPr>
          </xdr:sp>
          <xdr:sp macro="" textlink="">
            <xdr:nvSpPr>
              <xdr:cNvPr id="1692" name="Scroll Bar 668" hidden="1">
                <a:extLst>
                  <a:ext uri="{63B3BB69-23CF-44E3-9099-C40C66FF867C}">
                    <a14:compatExt spid="_x0000_s1692"/>
                  </a:ext>
                </a:extLst>
              </xdr:cNvPr>
              <xdr:cNvSpPr/>
            </xdr:nvSpPr>
            <xdr:spPr>
              <a:xfrm>
                <a:off x="220" y="0"/>
                <a:ext cx="147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0</xdr:rowOff>
        </xdr:from>
        <xdr:to>
          <xdr:col>5</xdr:col>
          <xdr:colOff>1314450</xdr:colOff>
          <xdr:row>0</xdr:row>
          <xdr:rowOff>0</xdr:rowOff>
        </xdr:to>
        <xdr:sp macro="" textlink="">
          <xdr:nvSpPr>
            <xdr:cNvPr id="1693" name="Scroll Bar 669" hidden="1">
              <a:extLst>
                <a:ext uri="{63B3BB69-23CF-44E3-9099-C40C66FF867C}">
                  <a14:compatExt spid="_x0000_s1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0</xdr:rowOff>
        </xdr:from>
        <xdr:to>
          <xdr:col>5</xdr:col>
          <xdr:colOff>1314450</xdr:colOff>
          <xdr:row>0</xdr:row>
          <xdr:rowOff>0</xdr:rowOff>
        </xdr:to>
        <xdr:sp macro="" textlink="">
          <xdr:nvSpPr>
            <xdr:cNvPr id="1694" name="Scroll Bar 670" hidden="1">
              <a:extLst>
                <a:ext uri="{63B3BB69-23CF-44E3-9099-C40C66FF867C}">
                  <a14:compatExt spid="_x0000_s1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0</xdr:rowOff>
        </xdr:from>
        <xdr:to>
          <xdr:col>5</xdr:col>
          <xdr:colOff>1314450</xdr:colOff>
          <xdr:row>0</xdr:row>
          <xdr:rowOff>0</xdr:rowOff>
        </xdr:to>
        <xdr:sp macro="" textlink="">
          <xdr:nvSpPr>
            <xdr:cNvPr id="1695" name="Scroll Bar 671" hidden="1">
              <a:extLst>
                <a:ext uri="{63B3BB69-23CF-44E3-9099-C40C66FF867C}">
                  <a14:compatExt spid="_x0000_s1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0</xdr:rowOff>
        </xdr:from>
        <xdr:to>
          <xdr:col>5</xdr:col>
          <xdr:colOff>1314450</xdr:colOff>
          <xdr:row>0</xdr:row>
          <xdr:rowOff>0</xdr:rowOff>
        </xdr:to>
        <xdr:sp macro="" textlink="">
          <xdr:nvSpPr>
            <xdr:cNvPr id="1696" name="Scroll Bar 672" hidden="1">
              <a:extLst>
                <a:ext uri="{63B3BB69-23CF-44E3-9099-C40C66FF867C}">
                  <a14:compatExt spid="_x0000_s1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0</xdr:row>
          <xdr:rowOff>0</xdr:rowOff>
        </xdr:from>
        <xdr:to>
          <xdr:col>2</xdr:col>
          <xdr:colOff>1295400</xdr:colOff>
          <xdr:row>0</xdr:row>
          <xdr:rowOff>0</xdr:rowOff>
        </xdr:to>
        <xdr:grpSp>
          <xdr:nvGrpSpPr>
            <xdr:cNvPr id="2082799" name="Group 677"/>
            <xdr:cNvGrpSpPr>
              <a:grpSpLocks/>
            </xdr:cNvGrpSpPr>
          </xdr:nvGrpSpPr>
          <xdr:grpSpPr bwMode="auto">
            <a:xfrm>
              <a:off x="2177303" y="0"/>
              <a:ext cx="1123950" cy="0"/>
              <a:chOff x="237" y="0"/>
              <a:chExt cx="2739114" cy="0"/>
            </a:xfrm>
          </xdr:grpSpPr>
          <xdr:sp macro="" textlink="">
            <xdr:nvSpPr>
              <xdr:cNvPr id="1702" name="Scroll Bar 678" hidden="1">
                <a:extLst>
                  <a:ext uri="{63B3BB69-23CF-44E3-9099-C40C66FF867C}">
                    <a14:compatExt spid="_x0000_s1702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703" name="Scroll Bar 679" hidden="1">
                <a:extLst>
                  <a:ext uri="{63B3BB69-23CF-44E3-9099-C40C66FF867C}">
                    <a14:compatExt spid="_x0000_s1703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704" name="Scroll Bar 680" hidden="1">
                <a:extLst>
                  <a:ext uri="{63B3BB69-23CF-44E3-9099-C40C66FF867C}">
                    <a14:compatExt spid="_x0000_s1704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705" name="Scroll Bar 681" hidden="1">
                <a:extLst>
                  <a:ext uri="{63B3BB69-23CF-44E3-9099-C40C66FF867C}">
                    <a14:compatExt spid="_x0000_s1705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706" name="Scroll Bar 682" hidden="1">
                <a:extLst>
                  <a:ext uri="{63B3BB69-23CF-44E3-9099-C40C66FF867C}">
                    <a14:compatExt spid="_x0000_s1706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707" name="Scroll Bar 683" hidden="1">
                <a:extLst>
                  <a:ext uri="{63B3BB69-23CF-44E3-9099-C40C66FF867C}">
                    <a14:compatExt spid="_x0000_s1707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708" name="Scroll Bar 684" hidden="1">
                <a:extLst>
                  <a:ext uri="{63B3BB69-23CF-44E3-9099-C40C66FF867C}">
                    <a14:compatExt spid="_x0000_s1708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709" name="Scroll Bar 685" hidden="1">
                <a:extLst>
                  <a:ext uri="{63B3BB69-23CF-44E3-9099-C40C66FF867C}">
                    <a14:compatExt spid="_x0000_s1709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710" name="Scroll Bar 686" hidden="1">
                <a:extLst>
                  <a:ext uri="{63B3BB69-23CF-44E3-9099-C40C66FF867C}">
                    <a14:compatExt spid="_x0000_s1710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711" name="Scroll Bar 687" hidden="1">
                <a:extLst>
                  <a:ext uri="{63B3BB69-23CF-44E3-9099-C40C66FF867C}">
                    <a14:compatExt spid="_x0000_s1711"/>
                  </a:ext>
                </a:extLst>
              </xdr:cNvPr>
              <xdr:cNvSpPr/>
            </xdr:nvSpPr>
            <xdr:spPr>
              <a:xfrm>
                <a:off x="237" y="0"/>
                <a:ext cx="144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0</xdr:row>
          <xdr:rowOff>0</xdr:rowOff>
        </xdr:from>
        <xdr:to>
          <xdr:col>2</xdr:col>
          <xdr:colOff>1295400</xdr:colOff>
          <xdr:row>0</xdr:row>
          <xdr:rowOff>0</xdr:rowOff>
        </xdr:to>
        <xdr:grpSp>
          <xdr:nvGrpSpPr>
            <xdr:cNvPr id="2082800" name="Group 3459"/>
            <xdr:cNvGrpSpPr>
              <a:grpSpLocks/>
            </xdr:cNvGrpSpPr>
          </xdr:nvGrpSpPr>
          <xdr:grpSpPr bwMode="auto">
            <a:xfrm>
              <a:off x="2177303" y="0"/>
              <a:ext cx="1123950" cy="0"/>
              <a:chOff x="230" y="0"/>
              <a:chExt cx="145" cy="0"/>
            </a:xfrm>
          </xdr:grpSpPr>
          <xdr:sp macro="" textlink="">
            <xdr:nvSpPr>
              <xdr:cNvPr id="1725" name="Scroll Bar 701" hidden="1">
                <a:extLst>
                  <a:ext uri="{63B3BB69-23CF-44E3-9099-C40C66FF867C}">
                    <a14:compatExt spid="_x0000_s1725"/>
                  </a:ext>
                </a:extLst>
              </xdr:cNvPr>
              <xdr:cNvSpPr/>
            </xdr:nvSpPr>
            <xdr:spPr>
              <a:xfrm>
                <a:off x="230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726" name="Scroll Bar 702" hidden="1">
                <a:extLst>
                  <a:ext uri="{63B3BB69-23CF-44E3-9099-C40C66FF867C}">
                    <a14:compatExt spid="_x0000_s1726"/>
                  </a:ext>
                </a:extLst>
              </xdr:cNvPr>
              <xdr:cNvSpPr/>
            </xdr:nvSpPr>
            <xdr:spPr>
              <a:xfrm>
                <a:off x="230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727" name="Scroll Bar 703" hidden="1">
                <a:extLst>
                  <a:ext uri="{63B3BB69-23CF-44E3-9099-C40C66FF867C}">
                    <a14:compatExt spid="_x0000_s1727"/>
                  </a:ext>
                </a:extLst>
              </xdr:cNvPr>
              <xdr:cNvSpPr/>
            </xdr:nvSpPr>
            <xdr:spPr>
              <a:xfrm>
                <a:off x="230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728" name="Scroll Bar 704" hidden="1">
                <a:extLst>
                  <a:ext uri="{63B3BB69-23CF-44E3-9099-C40C66FF867C}">
                    <a14:compatExt spid="_x0000_s1728"/>
                  </a:ext>
                </a:extLst>
              </xdr:cNvPr>
              <xdr:cNvSpPr/>
            </xdr:nvSpPr>
            <xdr:spPr>
              <a:xfrm>
                <a:off x="230" y="0"/>
                <a:ext cx="145" cy="0"/>
              </a:xfrm>
              <a:prstGeom prst="rect">
                <a:avLst/>
              </a:prstGeom>
            </xdr:spPr>
          </xdr:sp>
          <xdr:sp macro="" textlink="">
            <xdr:nvSpPr>
              <xdr:cNvPr id="1729" name="Scroll Bar 705" hidden="1">
                <a:extLst>
                  <a:ext uri="{63B3BB69-23CF-44E3-9099-C40C66FF867C}">
                    <a14:compatExt spid="_x0000_s1729"/>
                  </a:ext>
                </a:extLst>
              </xdr:cNvPr>
              <xdr:cNvSpPr/>
            </xdr:nvSpPr>
            <xdr:spPr>
              <a:xfrm>
                <a:off x="230" y="0"/>
                <a:ext cx="145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0</xdr:row>
          <xdr:rowOff>0</xdr:rowOff>
        </xdr:from>
        <xdr:to>
          <xdr:col>2</xdr:col>
          <xdr:colOff>1295400</xdr:colOff>
          <xdr:row>0</xdr:row>
          <xdr:rowOff>0</xdr:rowOff>
        </xdr:to>
        <xdr:grpSp>
          <xdr:nvGrpSpPr>
            <xdr:cNvPr id="2082801" name="Group 713"/>
            <xdr:cNvGrpSpPr>
              <a:grpSpLocks/>
            </xdr:cNvGrpSpPr>
          </xdr:nvGrpSpPr>
          <xdr:grpSpPr bwMode="auto">
            <a:xfrm>
              <a:off x="2177303" y="0"/>
              <a:ext cx="1123950" cy="0"/>
              <a:chOff x="237" y="0"/>
              <a:chExt cx="2739114" cy="0"/>
            </a:xfrm>
          </xdr:grpSpPr>
          <xdr:sp macro="" textlink="">
            <xdr:nvSpPr>
              <xdr:cNvPr id="1738" name="Scroll Bar 714" hidden="1">
                <a:extLst>
                  <a:ext uri="{63B3BB69-23CF-44E3-9099-C40C66FF867C}">
                    <a14:compatExt spid="_x0000_s1738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739" name="Scroll Bar 715" hidden="1">
                <a:extLst>
                  <a:ext uri="{63B3BB69-23CF-44E3-9099-C40C66FF867C}">
                    <a14:compatExt spid="_x0000_s1739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740" name="Scroll Bar 716" hidden="1">
                <a:extLst>
                  <a:ext uri="{63B3BB69-23CF-44E3-9099-C40C66FF867C}">
                    <a14:compatExt spid="_x0000_s1740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741" name="Scroll Bar 717" hidden="1">
                <a:extLst>
                  <a:ext uri="{63B3BB69-23CF-44E3-9099-C40C66FF867C}">
                    <a14:compatExt spid="_x0000_s1741"/>
                  </a:ext>
                </a:extLst>
              </xdr:cNvPr>
              <xdr:cNvSpPr/>
            </xdr:nvSpPr>
            <xdr:spPr>
              <a:xfrm>
                <a:off x="237" y="0"/>
                <a:ext cx="144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0</xdr:row>
          <xdr:rowOff>0</xdr:rowOff>
        </xdr:from>
        <xdr:to>
          <xdr:col>2</xdr:col>
          <xdr:colOff>1295400</xdr:colOff>
          <xdr:row>0</xdr:row>
          <xdr:rowOff>0</xdr:rowOff>
        </xdr:to>
        <xdr:grpSp>
          <xdr:nvGrpSpPr>
            <xdr:cNvPr id="2082802" name="Group 725"/>
            <xdr:cNvGrpSpPr>
              <a:grpSpLocks/>
            </xdr:cNvGrpSpPr>
          </xdr:nvGrpSpPr>
          <xdr:grpSpPr bwMode="auto">
            <a:xfrm>
              <a:off x="2177303" y="0"/>
              <a:ext cx="1123950" cy="0"/>
              <a:chOff x="237" y="0"/>
              <a:chExt cx="2739114" cy="0"/>
            </a:xfrm>
          </xdr:grpSpPr>
          <xdr:sp macro="" textlink="">
            <xdr:nvSpPr>
              <xdr:cNvPr id="1750" name="Scroll Bar 726" hidden="1">
                <a:extLst>
                  <a:ext uri="{63B3BB69-23CF-44E3-9099-C40C66FF867C}">
                    <a14:compatExt spid="_x0000_s1750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751" name="Scroll Bar 727" hidden="1">
                <a:extLst>
                  <a:ext uri="{63B3BB69-23CF-44E3-9099-C40C66FF867C}">
                    <a14:compatExt spid="_x0000_s1751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752" name="Scroll Bar 728" hidden="1">
                <a:extLst>
                  <a:ext uri="{63B3BB69-23CF-44E3-9099-C40C66FF867C}">
                    <a14:compatExt spid="_x0000_s1752"/>
                  </a:ext>
                </a:extLst>
              </xdr:cNvPr>
              <xdr:cNvSpPr/>
            </xdr:nvSpPr>
            <xdr:spPr>
              <a:xfrm>
                <a:off x="2739207" y="0"/>
                <a:ext cx="144" cy="0"/>
              </a:xfrm>
              <a:prstGeom prst="rect">
                <a:avLst/>
              </a:prstGeom>
            </xdr:spPr>
          </xdr:sp>
          <xdr:sp macro="" textlink="">
            <xdr:nvSpPr>
              <xdr:cNvPr id="1753" name="Scroll Bar 729" hidden="1">
                <a:extLst>
                  <a:ext uri="{63B3BB69-23CF-44E3-9099-C40C66FF867C}">
                    <a14:compatExt spid="_x0000_s1753"/>
                  </a:ext>
                </a:extLst>
              </xdr:cNvPr>
              <xdr:cNvSpPr/>
            </xdr:nvSpPr>
            <xdr:spPr>
              <a:xfrm>
                <a:off x="237" y="0"/>
                <a:ext cx="144" cy="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0</xdr:rowOff>
        </xdr:from>
        <xdr:to>
          <xdr:col>5</xdr:col>
          <xdr:colOff>1314450</xdr:colOff>
          <xdr:row>0</xdr:row>
          <xdr:rowOff>0</xdr:rowOff>
        </xdr:to>
        <xdr:sp macro="" textlink="">
          <xdr:nvSpPr>
            <xdr:cNvPr id="1761" name="Scroll Bar 737" hidden="1">
              <a:extLst>
                <a:ext uri="{63B3BB69-23CF-44E3-9099-C40C66FF867C}">
                  <a14:compatExt spid="_x0000_s1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0</xdr:rowOff>
        </xdr:from>
        <xdr:to>
          <xdr:col>5</xdr:col>
          <xdr:colOff>1314450</xdr:colOff>
          <xdr:row>0</xdr:row>
          <xdr:rowOff>0</xdr:rowOff>
        </xdr:to>
        <xdr:sp macro="" textlink="">
          <xdr:nvSpPr>
            <xdr:cNvPr id="1762" name="Scroll Bar 738" hidden="1">
              <a:extLst>
                <a:ext uri="{63B3BB69-23CF-44E3-9099-C40C66FF867C}">
                  <a14:compatExt spid="_x0000_s1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0</xdr:rowOff>
        </xdr:from>
        <xdr:to>
          <xdr:col>5</xdr:col>
          <xdr:colOff>1314450</xdr:colOff>
          <xdr:row>0</xdr:row>
          <xdr:rowOff>0</xdr:rowOff>
        </xdr:to>
        <xdr:sp macro="" textlink="">
          <xdr:nvSpPr>
            <xdr:cNvPr id="1763" name="Scroll Bar 739" hidden="1">
              <a:extLst>
                <a:ext uri="{63B3BB69-23CF-44E3-9099-C40C66FF867C}">
                  <a14:compatExt spid="_x0000_s1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0</xdr:rowOff>
        </xdr:from>
        <xdr:to>
          <xdr:col>5</xdr:col>
          <xdr:colOff>1314450</xdr:colOff>
          <xdr:row>0</xdr:row>
          <xdr:rowOff>0</xdr:rowOff>
        </xdr:to>
        <xdr:sp macro="" textlink="">
          <xdr:nvSpPr>
            <xdr:cNvPr id="1764" name="Scroll Bar 740" hidden="1">
              <a:extLst>
                <a:ext uri="{63B3BB69-23CF-44E3-9099-C40C66FF867C}">
                  <a14:compatExt spid="_x0000_s1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0</xdr:row>
          <xdr:rowOff>0</xdr:rowOff>
        </xdr:from>
        <xdr:to>
          <xdr:col>2</xdr:col>
          <xdr:colOff>1295400</xdr:colOff>
          <xdr:row>0</xdr:row>
          <xdr:rowOff>0</xdr:rowOff>
        </xdr:to>
        <xdr:sp macro="" textlink="">
          <xdr:nvSpPr>
            <xdr:cNvPr id="1778" name="Scroll Bar 754" hidden="1">
              <a:extLst>
                <a:ext uri="{63B3BB69-23CF-44E3-9099-C40C66FF867C}">
                  <a14:compatExt spid="_x0000_s1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0</xdr:row>
          <xdr:rowOff>0</xdr:rowOff>
        </xdr:from>
        <xdr:to>
          <xdr:col>2</xdr:col>
          <xdr:colOff>1295400</xdr:colOff>
          <xdr:row>0</xdr:row>
          <xdr:rowOff>0</xdr:rowOff>
        </xdr:to>
        <xdr:sp macro="" textlink="">
          <xdr:nvSpPr>
            <xdr:cNvPr id="1779" name="Scroll Bar 755" hidden="1">
              <a:extLst>
                <a:ext uri="{63B3BB69-23CF-44E3-9099-C40C66FF867C}">
                  <a14:compatExt spid="_x0000_s17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0</xdr:row>
          <xdr:rowOff>0</xdr:rowOff>
        </xdr:from>
        <xdr:to>
          <xdr:col>2</xdr:col>
          <xdr:colOff>1295400</xdr:colOff>
          <xdr:row>0</xdr:row>
          <xdr:rowOff>0</xdr:rowOff>
        </xdr:to>
        <xdr:sp macro="" textlink="">
          <xdr:nvSpPr>
            <xdr:cNvPr id="1784" name="Scroll Bar 760" hidden="1">
              <a:extLst>
                <a:ext uri="{63B3BB69-23CF-44E3-9099-C40C66FF867C}">
                  <a14:compatExt spid="_x0000_s1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0</xdr:row>
          <xdr:rowOff>0</xdr:rowOff>
        </xdr:from>
        <xdr:to>
          <xdr:col>2</xdr:col>
          <xdr:colOff>1295400</xdr:colOff>
          <xdr:row>0</xdr:row>
          <xdr:rowOff>0</xdr:rowOff>
        </xdr:to>
        <xdr:sp macro="" textlink="">
          <xdr:nvSpPr>
            <xdr:cNvPr id="1785" name="Scroll Bar 761" hidden="1">
              <a:extLst>
                <a:ext uri="{63B3BB69-23CF-44E3-9099-C40C66FF867C}">
                  <a14:compatExt spid="_x0000_s1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7</xdr:row>
          <xdr:rowOff>123825</xdr:rowOff>
        </xdr:from>
        <xdr:to>
          <xdr:col>5</xdr:col>
          <xdr:colOff>1343025</xdr:colOff>
          <xdr:row>8</xdr:row>
          <xdr:rowOff>161925</xdr:rowOff>
        </xdr:to>
        <xdr:sp macro="" textlink="">
          <xdr:nvSpPr>
            <xdr:cNvPr id="7239" name="Drop Down 1095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43</xdr:row>
          <xdr:rowOff>19050</xdr:rowOff>
        </xdr:from>
        <xdr:to>
          <xdr:col>5</xdr:col>
          <xdr:colOff>1343025</xdr:colOff>
          <xdr:row>44</xdr:row>
          <xdr:rowOff>19050</xdr:rowOff>
        </xdr:to>
        <xdr:sp macro="" textlink="">
          <xdr:nvSpPr>
            <xdr:cNvPr id="86070" name="Scroll Bar 5174" hidden="1">
              <a:extLst>
                <a:ext uri="{63B3BB69-23CF-44E3-9099-C40C66FF867C}">
                  <a14:compatExt spid="_x0000_s86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44</xdr:row>
          <xdr:rowOff>19050</xdr:rowOff>
        </xdr:from>
        <xdr:to>
          <xdr:col>5</xdr:col>
          <xdr:colOff>1343025</xdr:colOff>
          <xdr:row>45</xdr:row>
          <xdr:rowOff>19050</xdr:rowOff>
        </xdr:to>
        <xdr:sp macro="" textlink="">
          <xdr:nvSpPr>
            <xdr:cNvPr id="86071" name="Scroll Bar 5175" hidden="1">
              <a:extLst>
                <a:ext uri="{63B3BB69-23CF-44E3-9099-C40C66FF867C}">
                  <a14:compatExt spid="_x0000_s86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45</xdr:row>
          <xdr:rowOff>19050</xdr:rowOff>
        </xdr:from>
        <xdr:to>
          <xdr:col>5</xdr:col>
          <xdr:colOff>1343025</xdr:colOff>
          <xdr:row>46</xdr:row>
          <xdr:rowOff>19050</xdr:rowOff>
        </xdr:to>
        <xdr:sp macro="" textlink="">
          <xdr:nvSpPr>
            <xdr:cNvPr id="86072" name="Scroll Bar 5176" hidden="1">
              <a:extLst>
                <a:ext uri="{63B3BB69-23CF-44E3-9099-C40C66FF867C}">
                  <a14:compatExt spid="_x0000_s86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46</xdr:row>
          <xdr:rowOff>19050</xdr:rowOff>
        </xdr:from>
        <xdr:to>
          <xdr:col>5</xdr:col>
          <xdr:colOff>1343025</xdr:colOff>
          <xdr:row>47</xdr:row>
          <xdr:rowOff>19050</xdr:rowOff>
        </xdr:to>
        <xdr:sp macro="" textlink="">
          <xdr:nvSpPr>
            <xdr:cNvPr id="86073" name="Scroll Bar 5177" hidden="1">
              <a:extLst>
                <a:ext uri="{63B3BB69-23CF-44E3-9099-C40C66FF867C}">
                  <a14:compatExt spid="_x0000_s86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47</xdr:row>
          <xdr:rowOff>19050</xdr:rowOff>
        </xdr:from>
        <xdr:to>
          <xdr:col>5</xdr:col>
          <xdr:colOff>1343025</xdr:colOff>
          <xdr:row>48</xdr:row>
          <xdr:rowOff>19050</xdr:rowOff>
        </xdr:to>
        <xdr:sp macro="" textlink="">
          <xdr:nvSpPr>
            <xdr:cNvPr id="86074" name="Scroll Bar 5178" hidden="1">
              <a:extLst>
                <a:ext uri="{63B3BB69-23CF-44E3-9099-C40C66FF867C}">
                  <a14:compatExt spid="_x0000_s86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48</xdr:row>
          <xdr:rowOff>19050</xdr:rowOff>
        </xdr:from>
        <xdr:to>
          <xdr:col>5</xdr:col>
          <xdr:colOff>1343025</xdr:colOff>
          <xdr:row>49</xdr:row>
          <xdr:rowOff>19050</xdr:rowOff>
        </xdr:to>
        <xdr:sp macro="" textlink="">
          <xdr:nvSpPr>
            <xdr:cNvPr id="86075" name="Scroll Bar 5179" hidden="1">
              <a:extLst>
                <a:ext uri="{63B3BB69-23CF-44E3-9099-C40C66FF867C}">
                  <a14:compatExt spid="_x0000_s86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49</xdr:row>
          <xdr:rowOff>19050</xdr:rowOff>
        </xdr:from>
        <xdr:to>
          <xdr:col>5</xdr:col>
          <xdr:colOff>1343025</xdr:colOff>
          <xdr:row>50</xdr:row>
          <xdr:rowOff>19050</xdr:rowOff>
        </xdr:to>
        <xdr:sp macro="" textlink="">
          <xdr:nvSpPr>
            <xdr:cNvPr id="86076" name="Scroll Bar 5180" hidden="1">
              <a:extLst>
                <a:ext uri="{63B3BB69-23CF-44E3-9099-C40C66FF867C}">
                  <a14:compatExt spid="_x0000_s86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419100</xdr:colOff>
      <xdr:row>78</xdr:row>
      <xdr:rowOff>9525</xdr:rowOff>
    </xdr:from>
    <xdr:to>
      <xdr:col>9</xdr:col>
      <xdr:colOff>85725</xdr:colOff>
      <xdr:row>88</xdr:row>
      <xdr:rowOff>161925</xdr:rowOff>
    </xdr:to>
    <xdr:graphicFrame macro="">
      <xdr:nvGraphicFramePr>
        <xdr:cNvPr id="2082806" name="图表 366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79</xdr:row>
          <xdr:rowOff>9525</xdr:rowOff>
        </xdr:from>
        <xdr:to>
          <xdr:col>2</xdr:col>
          <xdr:colOff>1400175</xdr:colOff>
          <xdr:row>80</xdr:row>
          <xdr:rowOff>0</xdr:rowOff>
        </xdr:to>
        <xdr:sp macro="" textlink="">
          <xdr:nvSpPr>
            <xdr:cNvPr id="1193620" name="Scroll Bar 17044" hidden="1">
              <a:extLst>
                <a:ext uri="{63B3BB69-23CF-44E3-9099-C40C66FF867C}">
                  <a14:compatExt spid="_x0000_s1193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80</xdr:row>
          <xdr:rowOff>9525</xdr:rowOff>
        </xdr:from>
        <xdr:to>
          <xdr:col>2</xdr:col>
          <xdr:colOff>1400175</xdr:colOff>
          <xdr:row>80</xdr:row>
          <xdr:rowOff>161925</xdr:rowOff>
        </xdr:to>
        <xdr:sp macro="" textlink="">
          <xdr:nvSpPr>
            <xdr:cNvPr id="1193621" name="Scroll Bar 17045" hidden="1">
              <a:extLst>
                <a:ext uri="{63B3BB69-23CF-44E3-9099-C40C66FF867C}">
                  <a14:compatExt spid="_x0000_s1193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81</xdr:row>
          <xdr:rowOff>0</xdr:rowOff>
        </xdr:from>
        <xdr:to>
          <xdr:col>2</xdr:col>
          <xdr:colOff>1400175</xdr:colOff>
          <xdr:row>81</xdr:row>
          <xdr:rowOff>152400</xdr:rowOff>
        </xdr:to>
        <xdr:sp macro="" textlink="">
          <xdr:nvSpPr>
            <xdr:cNvPr id="1193622" name="Scroll Bar 17046" hidden="1">
              <a:extLst>
                <a:ext uri="{63B3BB69-23CF-44E3-9099-C40C66FF867C}">
                  <a14:compatExt spid="_x0000_s1193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82</xdr:row>
          <xdr:rowOff>0</xdr:rowOff>
        </xdr:from>
        <xdr:to>
          <xdr:col>2</xdr:col>
          <xdr:colOff>1400175</xdr:colOff>
          <xdr:row>82</xdr:row>
          <xdr:rowOff>152400</xdr:rowOff>
        </xdr:to>
        <xdr:sp macro="" textlink="">
          <xdr:nvSpPr>
            <xdr:cNvPr id="1193623" name="Scroll Bar 17047" hidden="1">
              <a:extLst>
                <a:ext uri="{63B3BB69-23CF-44E3-9099-C40C66FF867C}">
                  <a14:compatExt spid="_x0000_s11936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83</xdr:row>
          <xdr:rowOff>0</xdr:rowOff>
        </xdr:from>
        <xdr:to>
          <xdr:col>2</xdr:col>
          <xdr:colOff>1400175</xdr:colOff>
          <xdr:row>83</xdr:row>
          <xdr:rowOff>152400</xdr:rowOff>
        </xdr:to>
        <xdr:sp macro="" textlink="">
          <xdr:nvSpPr>
            <xdr:cNvPr id="1193624" name="Scroll Bar 17048" hidden="1">
              <a:extLst>
                <a:ext uri="{63B3BB69-23CF-44E3-9099-C40C66FF867C}">
                  <a14:compatExt spid="_x0000_s11936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84</xdr:row>
          <xdr:rowOff>9525</xdr:rowOff>
        </xdr:from>
        <xdr:to>
          <xdr:col>2</xdr:col>
          <xdr:colOff>1400175</xdr:colOff>
          <xdr:row>85</xdr:row>
          <xdr:rowOff>0</xdr:rowOff>
        </xdr:to>
        <xdr:sp macro="" textlink="">
          <xdr:nvSpPr>
            <xdr:cNvPr id="1193625" name="Scroll Bar 17049" hidden="1">
              <a:extLst>
                <a:ext uri="{63B3BB69-23CF-44E3-9099-C40C66FF867C}">
                  <a14:compatExt spid="_x0000_s1193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79</xdr:row>
          <xdr:rowOff>0</xdr:rowOff>
        </xdr:from>
        <xdr:to>
          <xdr:col>5</xdr:col>
          <xdr:colOff>1419225</xdr:colOff>
          <xdr:row>79</xdr:row>
          <xdr:rowOff>152400</xdr:rowOff>
        </xdr:to>
        <xdr:sp macro="" textlink="">
          <xdr:nvSpPr>
            <xdr:cNvPr id="1193629" name="Scroll Bar 17053" hidden="1">
              <a:extLst>
                <a:ext uri="{63B3BB69-23CF-44E3-9099-C40C66FF867C}">
                  <a14:compatExt spid="_x0000_s1193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79</xdr:row>
          <xdr:rowOff>152400</xdr:rowOff>
        </xdr:from>
        <xdr:to>
          <xdr:col>5</xdr:col>
          <xdr:colOff>1419225</xdr:colOff>
          <xdr:row>80</xdr:row>
          <xdr:rowOff>142875</xdr:rowOff>
        </xdr:to>
        <xdr:sp macro="" textlink="">
          <xdr:nvSpPr>
            <xdr:cNvPr id="1193630" name="Scroll Bar 17054" hidden="1">
              <a:extLst>
                <a:ext uri="{63B3BB69-23CF-44E3-9099-C40C66FF867C}">
                  <a14:compatExt spid="_x0000_s1193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80</xdr:row>
          <xdr:rowOff>152400</xdr:rowOff>
        </xdr:from>
        <xdr:to>
          <xdr:col>5</xdr:col>
          <xdr:colOff>1419225</xdr:colOff>
          <xdr:row>81</xdr:row>
          <xdr:rowOff>133350</xdr:rowOff>
        </xdr:to>
        <xdr:sp macro="" textlink="">
          <xdr:nvSpPr>
            <xdr:cNvPr id="1193631" name="Scroll Bar 17055" hidden="1">
              <a:extLst>
                <a:ext uri="{63B3BB69-23CF-44E3-9099-C40C66FF867C}">
                  <a14:compatExt spid="_x0000_s1193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81</xdr:row>
          <xdr:rowOff>142875</xdr:rowOff>
        </xdr:from>
        <xdr:to>
          <xdr:col>5</xdr:col>
          <xdr:colOff>1419225</xdr:colOff>
          <xdr:row>82</xdr:row>
          <xdr:rowOff>142875</xdr:rowOff>
        </xdr:to>
        <xdr:sp macro="" textlink="">
          <xdr:nvSpPr>
            <xdr:cNvPr id="1193632" name="Scroll Bar 17056" hidden="1">
              <a:extLst>
                <a:ext uri="{63B3BB69-23CF-44E3-9099-C40C66FF867C}">
                  <a14:compatExt spid="_x0000_s1193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82</xdr:row>
          <xdr:rowOff>152400</xdr:rowOff>
        </xdr:from>
        <xdr:to>
          <xdr:col>5</xdr:col>
          <xdr:colOff>1419225</xdr:colOff>
          <xdr:row>83</xdr:row>
          <xdr:rowOff>142875</xdr:rowOff>
        </xdr:to>
        <xdr:sp macro="" textlink="">
          <xdr:nvSpPr>
            <xdr:cNvPr id="1193633" name="Scroll Bar 17057" hidden="1">
              <a:extLst>
                <a:ext uri="{63B3BB69-23CF-44E3-9099-C40C66FF867C}">
                  <a14:compatExt spid="_x0000_s1193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83</xdr:row>
          <xdr:rowOff>152400</xdr:rowOff>
        </xdr:from>
        <xdr:to>
          <xdr:col>5</xdr:col>
          <xdr:colOff>1419225</xdr:colOff>
          <xdr:row>85</xdr:row>
          <xdr:rowOff>0</xdr:rowOff>
        </xdr:to>
        <xdr:sp macro="" textlink="">
          <xdr:nvSpPr>
            <xdr:cNvPr id="1193634" name="Scroll Bar 17058" hidden="1">
              <a:extLst>
                <a:ext uri="{63B3BB69-23CF-44E3-9099-C40C66FF867C}">
                  <a14:compatExt spid="_x0000_s1193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419100</xdr:colOff>
      <xdr:row>149</xdr:row>
      <xdr:rowOff>9525</xdr:rowOff>
    </xdr:from>
    <xdr:to>
      <xdr:col>9</xdr:col>
      <xdr:colOff>85725</xdr:colOff>
      <xdr:row>159</xdr:row>
      <xdr:rowOff>161925</xdr:rowOff>
    </xdr:to>
    <xdr:graphicFrame macro="">
      <xdr:nvGraphicFramePr>
        <xdr:cNvPr id="2082807" name="图表 366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150</xdr:row>
          <xdr:rowOff>9525</xdr:rowOff>
        </xdr:from>
        <xdr:to>
          <xdr:col>2</xdr:col>
          <xdr:colOff>1400175</xdr:colOff>
          <xdr:row>151</xdr:row>
          <xdr:rowOff>0</xdr:rowOff>
        </xdr:to>
        <xdr:sp macro="" textlink="">
          <xdr:nvSpPr>
            <xdr:cNvPr id="1193693" name="Scroll Bar 17117" hidden="1">
              <a:extLst>
                <a:ext uri="{63B3BB69-23CF-44E3-9099-C40C66FF867C}">
                  <a14:compatExt spid="_x0000_s1193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151</xdr:row>
          <xdr:rowOff>9525</xdr:rowOff>
        </xdr:from>
        <xdr:to>
          <xdr:col>2</xdr:col>
          <xdr:colOff>1400175</xdr:colOff>
          <xdr:row>151</xdr:row>
          <xdr:rowOff>161925</xdr:rowOff>
        </xdr:to>
        <xdr:sp macro="" textlink="">
          <xdr:nvSpPr>
            <xdr:cNvPr id="1193694" name="Scroll Bar 17118" hidden="1">
              <a:extLst>
                <a:ext uri="{63B3BB69-23CF-44E3-9099-C40C66FF867C}">
                  <a14:compatExt spid="_x0000_s1193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152</xdr:row>
          <xdr:rowOff>0</xdr:rowOff>
        </xdr:from>
        <xdr:to>
          <xdr:col>2</xdr:col>
          <xdr:colOff>1400175</xdr:colOff>
          <xdr:row>152</xdr:row>
          <xdr:rowOff>152400</xdr:rowOff>
        </xdr:to>
        <xdr:sp macro="" textlink="">
          <xdr:nvSpPr>
            <xdr:cNvPr id="1193695" name="Scroll Bar 17119" hidden="1">
              <a:extLst>
                <a:ext uri="{63B3BB69-23CF-44E3-9099-C40C66FF867C}">
                  <a14:compatExt spid="_x0000_s1193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153</xdr:row>
          <xdr:rowOff>0</xdr:rowOff>
        </xdr:from>
        <xdr:to>
          <xdr:col>2</xdr:col>
          <xdr:colOff>1400175</xdr:colOff>
          <xdr:row>153</xdr:row>
          <xdr:rowOff>152400</xdr:rowOff>
        </xdr:to>
        <xdr:sp macro="" textlink="">
          <xdr:nvSpPr>
            <xdr:cNvPr id="1193696" name="Scroll Bar 17120" hidden="1">
              <a:extLst>
                <a:ext uri="{63B3BB69-23CF-44E3-9099-C40C66FF867C}">
                  <a14:compatExt spid="_x0000_s1193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154</xdr:row>
          <xdr:rowOff>0</xdr:rowOff>
        </xdr:from>
        <xdr:to>
          <xdr:col>2</xdr:col>
          <xdr:colOff>1400175</xdr:colOff>
          <xdr:row>154</xdr:row>
          <xdr:rowOff>152400</xdr:rowOff>
        </xdr:to>
        <xdr:sp macro="" textlink="">
          <xdr:nvSpPr>
            <xdr:cNvPr id="1193697" name="Scroll Bar 17121" hidden="1">
              <a:extLst>
                <a:ext uri="{63B3BB69-23CF-44E3-9099-C40C66FF867C}">
                  <a14:compatExt spid="_x0000_s1193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155</xdr:row>
          <xdr:rowOff>9525</xdr:rowOff>
        </xdr:from>
        <xdr:to>
          <xdr:col>2</xdr:col>
          <xdr:colOff>1400175</xdr:colOff>
          <xdr:row>156</xdr:row>
          <xdr:rowOff>0</xdr:rowOff>
        </xdr:to>
        <xdr:sp macro="" textlink="">
          <xdr:nvSpPr>
            <xdr:cNvPr id="1193698" name="Scroll Bar 17122" hidden="1">
              <a:extLst>
                <a:ext uri="{63B3BB69-23CF-44E3-9099-C40C66FF867C}">
                  <a14:compatExt spid="_x0000_s1193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156</xdr:row>
          <xdr:rowOff>9525</xdr:rowOff>
        </xdr:from>
        <xdr:to>
          <xdr:col>2</xdr:col>
          <xdr:colOff>1400175</xdr:colOff>
          <xdr:row>157</xdr:row>
          <xdr:rowOff>0</xdr:rowOff>
        </xdr:to>
        <xdr:sp macro="" textlink="">
          <xdr:nvSpPr>
            <xdr:cNvPr id="1193699" name="Scroll Bar 17123" hidden="1">
              <a:extLst>
                <a:ext uri="{63B3BB69-23CF-44E3-9099-C40C66FF867C}">
                  <a14:compatExt spid="_x0000_s1193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150</xdr:row>
          <xdr:rowOff>0</xdr:rowOff>
        </xdr:from>
        <xdr:to>
          <xdr:col>5</xdr:col>
          <xdr:colOff>1419225</xdr:colOff>
          <xdr:row>150</xdr:row>
          <xdr:rowOff>152400</xdr:rowOff>
        </xdr:to>
        <xdr:sp macro="" textlink="">
          <xdr:nvSpPr>
            <xdr:cNvPr id="1193702" name="Scroll Bar 17126" hidden="1">
              <a:extLst>
                <a:ext uri="{63B3BB69-23CF-44E3-9099-C40C66FF867C}">
                  <a14:compatExt spid="_x0000_s1193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150</xdr:row>
          <xdr:rowOff>152400</xdr:rowOff>
        </xdr:from>
        <xdr:to>
          <xdr:col>5</xdr:col>
          <xdr:colOff>1419225</xdr:colOff>
          <xdr:row>151</xdr:row>
          <xdr:rowOff>142875</xdr:rowOff>
        </xdr:to>
        <xdr:sp macro="" textlink="">
          <xdr:nvSpPr>
            <xdr:cNvPr id="1193703" name="Scroll Bar 17127" hidden="1">
              <a:extLst>
                <a:ext uri="{63B3BB69-23CF-44E3-9099-C40C66FF867C}">
                  <a14:compatExt spid="_x0000_s1193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151</xdr:row>
          <xdr:rowOff>152400</xdr:rowOff>
        </xdr:from>
        <xdr:to>
          <xdr:col>5</xdr:col>
          <xdr:colOff>1419225</xdr:colOff>
          <xdr:row>152</xdr:row>
          <xdr:rowOff>133350</xdr:rowOff>
        </xdr:to>
        <xdr:sp macro="" textlink="">
          <xdr:nvSpPr>
            <xdr:cNvPr id="1193704" name="Scroll Bar 17128" hidden="1">
              <a:extLst>
                <a:ext uri="{63B3BB69-23CF-44E3-9099-C40C66FF867C}">
                  <a14:compatExt spid="_x0000_s1193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152</xdr:row>
          <xdr:rowOff>142875</xdr:rowOff>
        </xdr:from>
        <xdr:to>
          <xdr:col>5</xdr:col>
          <xdr:colOff>1419225</xdr:colOff>
          <xdr:row>153</xdr:row>
          <xdr:rowOff>142875</xdr:rowOff>
        </xdr:to>
        <xdr:sp macro="" textlink="">
          <xdr:nvSpPr>
            <xdr:cNvPr id="1193705" name="Scroll Bar 17129" hidden="1">
              <a:extLst>
                <a:ext uri="{63B3BB69-23CF-44E3-9099-C40C66FF867C}">
                  <a14:compatExt spid="_x0000_s1193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153</xdr:row>
          <xdr:rowOff>152400</xdr:rowOff>
        </xdr:from>
        <xdr:to>
          <xdr:col>5</xdr:col>
          <xdr:colOff>1419225</xdr:colOff>
          <xdr:row>154</xdr:row>
          <xdr:rowOff>142875</xdr:rowOff>
        </xdr:to>
        <xdr:sp macro="" textlink="">
          <xdr:nvSpPr>
            <xdr:cNvPr id="1193706" name="Scroll Bar 17130" hidden="1">
              <a:extLst>
                <a:ext uri="{63B3BB69-23CF-44E3-9099-C40C66FF867C}">
                  <a14:compatExt spid="_x0000_s1193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154</xdr:row>
          <xdr:rowOff>152400</xdr:rowOff>
        </xdr:from>
        <xdr:to>
          <xdr:col>5</xdr:col>
          <xdr:colOff>1419225</xdr:colOff>
          <xdr:row>156</xdr:row>
          <xdr:rowOff>0</xdr:rowOff>
        </xdr:to>
        <xdr:sp macro="" textlink="">
          <xdr:nvSpPr>
            <xdr:cNvPr id="1193707" name="Scroll Bar 17131" hidden="1">
              <a:extLst>
                <a:ext uri="{63B3BB69-23CF-44E3-9099-C40C66FF867C}">
                  <a14:compatExt spid="_x0000_s1193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155</xdr:row>
          <xdr:rowOff>152400</xdr:rowOff>
        </xdr:from>
        <xdr:to>
          <xdr:col>5</xdr:col>
          <xdr:colOff>1419225</xdr:colOff>
          <xdr:row>156</xdr:row>
          <xdr:rowOff>152400</xdr:rowOff>
        </xdr:to>
        <xdr:sp macro="" textlink="">
          <xdr:nvSpPr>
            <xdr:cNvPr id="1193708" name="Scroll Bar 17132" hidden="1">
              <a:extLst>
                <a:ext uri="{63B3BB69-23CF-44E3-9099-C40C66FF867C}">
                  <a14:compatExt spid="_x0000_s1193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140</xdr:row>
          <xdr:rowOff>9525</xdr:rowOff>
        </xdr:from>
        <xdr:to>
          <xdr:col>2</xdr:col>
          <xdr:colOff>1400175</xdr:colOff>
          <xdr:row>141</xdr:row>
          <xdr:rowOff>0</xdr:rowOff>
        </xdr:to>
        <xdr:sp macro="" textlink="">
          <xdr:nvSpPr>
            <xdr:cNvPr id="1296009" name="Scroll Bar 18057" hidden="1">
              <a:extLst>
                <a:ext uri="{63B3BB69-23CF-44E3-9099-C40C66FF867C}">
                  <a14:compatExt spid="_x0000_s1296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141</xdr:row>
          <xdr:rowOff>9525</xdr:rowOff>
        </xdr:from>
        <xdr:to>
          <xdr:col>2</xdr:col>
          <xdr:colOff>1400175</xdr:colOff>
          <xdr:row>141</xdr:row>
          <xdr:rowOff>161925</xdr:rowOff>
        </xdr:to>
        <xdr:sp macro="" textlink="">
          <xdr:nvSpPr>
            <xdr:cNvPr id="1296010" name="Scroll Bar 18058" hidden="1">
              <a:extLst>
                <a:ext uri="{63B3BB69-23CF-44E3-9099-C40C66FF867C}">
                  <a14:compatExt spid="_x0000_s1296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142</xdr:row>
          <xdr:rowOff>0</xdr:rowOff>
        </xdr:from>
        <xdr:to>
          <xdr:col>2</xdr:col>
          <xdr:colOff>1400175</xdr:colOff>
          <xdr:row>142</xdr:row>
          <xdr:rowOff>152400</xdr:rowOff>
        </xdr:to>
        <xdr:sp macro="" textlink="">
          <xdr:nvSpPr>
            <xdr:cNvPr id="1296011" name="Scroll Bar 18059" hidden="1">
              <a:extLst>
                <a:ext uri="{63B3BB69-23CF-44E3-9099-C40C66FF867C}">
                  <a14:compatExt spid="_x0000_s1296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419100</xdr:colOff>
      <xdr:row>201</xdr:row>
      <xdr:rowOff>9525</xdr:rowOff>
    </xdr:from>
    <xdr:to>
      <xdr:col>9</xdr:col>
      <xdr:colOff>85725</xdr:colOff>
      <xdr:row>211</xdr:row>
      <xdr:rowOff>161925</xdr:rowOff>
    </xdr:to>
    <xdr:graphicFrame macro="">
      <xdr:nvGraphicFramePr>
        <xdr:cNvPr id="2394115" name="图表 366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202</xdr:row>
          <xdr:rowOff>0</xdr:rowOff>
        </xdr:from>
        <xdr:to>
          <xdr:col>5</xdr:col>
          <xdr:colOff>1419225</xdr:colOff>
          <xdr:row>202</xdr:row>
          <xdr:rowOff>152400</xdr:rowOff>
        </xdr:to>
        <xdr:sp macro="" textlink="">
          <xdr:nvSpPr>
            <xdr:cNvPr id="1477647" name="Scroll Bar 18447" hidden="1">
              <a:extLst>
                <a:ext uri="{63B3BB69-23CF-44E3-9099-C40C66FF867C}">
                  <a14:compatExt spid="_x0000_s1477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202</xdr:row>
          <xdr:rowOff>152400</xdr:rowOff>
        </xdr:from>
        <xdr:to>
          <xdr:col>5</xdr:col>
          <xdr:colOff>1419225</xdr:colOff>
          <xdr:row>203</xdr:row>
          <xdr:rowOff>142875</xdr:rowOff>
        </xdr:to>
        <xdr:sp macro="" textlink="">
          <xdr:nvSpPr>
            <xdr:cNvPr id="1477648" name="Scroll Bar 18448" hidden="1">
              <a:extLst>
                <a:ext uri="{63B3BB69-23CF-44E3-9099-C40C66FF867C}">
                  <a14:compatExt spid="_x0000_s1477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203</xdr:row>
          <xdr:rowOff>152400</xdr:rowOff>
        </xdr:from>
        <xdr:to>
          <xdr:col>5</xdr:col>
          <xdr:colOff>1419225</xdr:colOff>
          <xdr:row>204</xdr:row>
          <xdr:rowOff>133350</xdr:rowOff>
        </xdr:to>
        <xdr:sp macro="" textlink="">
          <xdr:nvSpPr>
            <xdr:cNvPr id="1477649" name="Scroll Bar 18449" hidden="1">
              <a:extLst>
                <a:ext uri="{63B3BB69-23CF-44E3-9099-C40C66FF867C}">
                  <a14:compatExt spid="_x0000_s147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204</xdr:row>
          <xdr:rowOff>142875</xdr:rowOff>
        </xdr:from>
        <xdr:to>
          <xdr:col>5</xdr:col>
          <xdr:colOff>1419225</xdr:colOff>
          <xdr:row>205</xdr:row>
          <xdr:rowOff>142875</xdr:rowOff>
        </xdr:to>
        <xdr:sp macro="" textlink="">
          <xdr:nvSpPr>
            <xdr:cNvPr id="1477650" name="Scroll Bar 18450" hidden="1">
              <a:extLst>
                <a:ext uri="{63B3BB69-23CF-44E3-9099-C40C66FF867C}">
                  <a14:compatExt spid="_x0000_s1477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205</xdr:row>
          <xdr:rowOff>152400</xdr:rowOff>
        </xdr:from>
        <xdr:to>
          <xdr:col>5</xdr:col>
          <xdr:colOff>1419225</xdr:colOff>
          <xdr:row>206</xdr:row>
          <xdr:rowOff>142875</xdr:rowOff>
        </xdr:to>
        <xdr:sp macro="" textlink="">
          <xdr:nvSpPr>
            <xdr:cNvPr id="1477651" name="Scroll Bar 18451" hidden="1">
              <a:extLst>
                <a:ext uri="{63B3BB69-23CF-44E3-9099-C40C66FF867C}">
                  <a14:compatExt spid="_x0000_s14776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207</xdr:row>
          <xdr:rowOff>0</xdr:rowOff>
        </xdr:from>
        <xdr:to>
          <xdr:col>5</xdr:col>
          <xdr:colOff>1419225</xdr:colOff>
          <xdr:row>208</xdr:row>
          <xdr:rowOff>0</xdr:rowOff>
        </xdr:to>
        <xdr:sp macro="" textlink="">
          <xdr:nvSpPr>
            <xdr:cNvPr id="1477652" name="Scroll Bar 18452" hidden="1">
              <a:extLst>
                <a:ext uri="{63B3BB69-23CF-44E3-9099-C40C66FF867C}">
                  <a14:compatExt spid="_x0000_s1477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207</xdr:row>
          <xdr:rowOff>152400</xdr:rowOff>
        </xdr:from>
        <xdr:to>
          <xdr:col>5</xdr:col>
          <xdr:colOff>1419225</xdr:colOff>
          <xdr:row>208</xdr:row>
          <xdr:rowOff>152400</xdr:rowOff>
        </xdr:to>
        <xdr:sp macro="" textlink="">
          <xdr:nvSpPr>
            <xdr:cNvPr id="1477653" name="Scroll Bar 18453" hidden="1">
              <a:extLst>
                <a:ext uri="{63B3BB69-23CF-44E3-9099-C40C66FF867C}">
                  <a14:compatExt spid="_x0000_s1477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208</xdr:row>
          <xdr:rowOff>152400</xdr:rowOff>
        </xdr:from>
        <xdr:to>
          <xdr:col>5</xdr:col>
          <xdr:colOff>1419225</xdr:colOff>
          <xdr:row>209</xdr:row>
          <xdr:rowOff>152400</xdr:rowOff>
        </xdr:to>
        <xdr:sp macro="" textlink="">
          <xdr:nvSpPr>
            <xdr:cNvPr id="1477654" name="Scroll Bar 18454" hidden="1">
              <a:extLst>
                <a:ext uri="{63B3BB69-23CF-44E3-9099-C40C66FF867C}">
                  <a14:compatExt spid="_x0000_s14776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209</xdr:row>
          <xdr:rowOff>133350</xdr:rowOff>
        </xdr:from>
        <xdr:to>
          <xdr:col>5</xdr:col>
          <xdr:colOff>1419225</xdr:colOff>
          <xdr:row>210</xdr:row>
          <xdr:rowOff>142875</xdr:rowOff>
        </xdr:to>
        <xdr:sp macro="" textlink="">
          <xdr:nvSpPr>
            <xdr:cNvPr id="1477655" name="Scroll Bar 18455" hidden="1">
              <a:extLst>
                <a:ext uri="{63B3BB69-23CF-44E3-9099-C40C66FF867C}">
                  <a14:compatExt spid="_x0000_s14776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419100</xdr:colOff>
      <xdr:row>189</xdr:row>
      <xdr:rowOff>9525</xdr:rowOff>
    </xdr:from>
    <xdr:to>
      <xdr:col>9</xdr:col>
      <xdr:colOff>85725</xdr:colOff>
      <xdr:row>199</xdr:row>
      <xdr:rowOff>161925</xdr:rowOff>
    </xdr:to>
    <xdr:graphicFrame macro="">
      <xdr:nvGraphicFramePr>
        <xdr:cNvPr id="2394117" name="图表 366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190</xdr:row>
          <xdr:rowOff>9525</xdr:rowOff>
        </xdr:from>
        <xdr:to>
          <xdr:col>2</xdr:col>
          <xdr:colOff>1400175</xdr:colOff>
          <xdr:row>191</xdr:row>
          <xdr:rowOff>0</xdr:rowOff>
        </xdr:to>
        <xdr:sp macro="" textlink="">
          <xdr:nvSpPr>
            <xdr:cNvPr id="1477885" name="Scroll Bar 18685" hidden="1">
              <a:extLst>
                <a:ext uri="{63B3BB69-23CF-44E3-9099-C40C66FF867C}">
                  <a14:compatExt spid="_x0000_s1477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191</xdr:row>
          <xdr:rowOff>9525</xdr:rowOff>
        </xdr:from>
        <xdr:to>
          <xdr:col>2</xdr:col>
          <xdr:colOff>1400175</xdr:colOff>
          <xdr:row>191</xdr:row>
          <xdr:rowOff>161925</xdr:rowOff>
        </xdr:to>
        <xdr:sp macro="" textlink="">
          <xdr:nvSpPr>
            <xdr:cNvPr id="1477886" name="Scroll Bar 18686" hidden="1">
              <a:extLst>
                <a:ext uri="{63B3BB69-23CF-44E3-9099-C40C66FF867C}">
                  <a14:compatExt spid="_x0000_s147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192</xdr:row>
          <xdr:rowOff>0</xdr:rowOff>
        </xdr:from>
        <xdr:to>
          <xdr:col>2</xdr:col>
          <xdr:colOff>1400175</xdr:colOff>
          <xdr:row>192</xdr:row>
          <xdr:rowOff>152400</xdr:rowOff>
        </xdr:to>
        <xdr:sp macro="" textlink="">
          <xdr:nvSpPr>
            <xdr:cNvPr id="1477887" name="Scroll Bar 18687" hidden="1">
              <a:extLst>
                <a:ext uri="{63B3BB69-23CF-44E3-9099-C40C66FF867C}">
                  <a14:compatExt spid="_x0000_s147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193</xdr:row>
          <xdr:rowOff>0</xdr:rowOff>
        </xdr:from>
        <xdr:to>
          <xdr:col>2</xdr:col>
          <xdr:colOff>1400175</xdr:colOff>
          <xdr:row>193</xdr:row>
          <xdr:rowOff>152400</xdr:rowOff>
        </xdr:to>
        <xdr:sp macro="" textlink="">
          <xdr:nvSpPr>
            <xdr:cNvPr id="1477888" name="Scroll Bar 18688" hidden="1">
              <a:extLst>
                <a:ext uri="{63B3BB69-23CF-44E3-9099-C40C66FF867C}">
                  <a14:compatExt spid="_x0000_s1477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194</xdr:row>
          <xdr:rowOff>0</xdr:rowOff>
        </xdr:from>
        <xdr:to>
          <xdr:col>2</xdr:col>
          <xdr:colOff>1400175</xdr:colOff>
          <xdr:row>194</xdr:row>
          <xdr:rowOff>152400</xdr:rowOff>
        </xdr:to>
        <xdr:sp macro="" textlink="">
          <xdr:nvSpPr>
            <xdr:cNvPr id="1477889" name="Scroll Bar 18689" hidden="1">
              <a:extLst>
                <a:ext uri="{63B3BB69-23CF-44E3-9099-C40C66FF867C}">
                  <a14:compatExt spid="_x0000_s1477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190</xdr:row>
          <xdr:rowOff>0</xdr:rowOff>
        </xdr:from>
        <xdr:to>
          <xdr:col>5</xdr:col>
          <xdr:colOff>1419225</xdr:colOff>
          <xdr:row>190</xdr:row>
          <xdr:rowOff>152400</xdr:rowOff>
        </xdr:to>
        <xdr:sp macro="" textlink="">
          <xdr:nvSpPr>
            <xdr:cNvPr id="1477890" name="Scroll Bar 18690" hidden="1">
              <a:extLst>
                <a:ext uri="{63B3BB69-23CF-44E3-9099-C40C66FF867C}">
                  <a14:compatExt spid="_x0000_s1477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190</xdr:row>
          <xdr:rowOff>152400</xdr:rowOff>
        </xdr:from>
        <xdr:to>
          <xdr:col>5</xdr:col>
          <xdr:colOff>1419225</xdr:colOff>
          <xdr:row>191</xdr:row>
          <xdr:rowOff>142875</xdr:rowOff>
        </xdr:to>
        <xdr:sp macro="" textlink="">
          <xdr:nvSpPr>
            <xdr:cNvPr id="1477891" name="Scroll Bar 18691" hidden="1">
              <a:extLst>
                <a:ext uri="{63B3BB69-23CF-44E3-9099-C40C66FF867C}">
                  <a14:compatExt spid="_x0000_s147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191</xdr:row>
          <xdr:rowOff>152400</xdr:rowOff>
        </xdr:from>
        <xdr:to>
          <xdr:col>5</xdr:col>
          <xdr:colOff>1419225</xdr:colOff>
          <xdr:row>192</xdr:row>
          <xdr:rowOff>133350</xdr:rowOff>
        </xdr:to>
        <xdr:sp macro="" textlink="">
          <xdr:nvSpPr>
            <xdr:cNvPr id="1477892" name="Scroll Bar 18692" hidden="1">
              <a:extLst>
                <a:ext uri="{63B3BB69-23CF-44E3-9099-C40C66FF867C}">
                  <a14:compatExt spid="_x0000_s1477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192</xdr:row>
          <xdr:rowOff>142875</xdr:rowOff>
        </xdr:from>
        <xdr:to>
          <xdr:col>5</xdr:col>
          <xdr:colOff>1419225</xdr:colOff>
          <xdr:row>193</xdr:row>
          <xdr:rowOff>142875</xdr:rowOff>
        </xdr:to>
        <xdr:sp macro="" textlink="">
          <xdr:nvSpPr>
            <xdr:cNvPr id="1477893" name="Scroll Bar 18693" hidden="1">
              <a:extLst>
                <a:ext uri="{63B3BB69-23CF-44E3-9099-C40C66FF867C}">
                  <a14:compatExt spid="_x0000_s1477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193</xdr:row>
          <xdr:rowOff>152400</xdr:rowOff>
        </xdr:from>
        <xdr:to>
          <xdr:col>5</xdr:col>
          <xdr:colOff>1419225</xdr:colOff>
          <xdr:row>194</xdr:row>
          <xdr:rowOff>142875</xdr:rowOff>
        </xdr:to>
        <xdr:sp macro="" textlink="">
          <xdr:nvSpPr>
            <xdr:cNvPr id="1477894" name="Scroll Bar 18694" hidden="1">
              <a:extLst>
                <a:ext uri="{63B3BB69-23CF-44E3-9099-C40C66FF867C}">
                  <a14:compatExt spid="_x0000_s1477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51</xdr:row>
          <xdr:rowOff>19050</xdr:rowOff>
        </xdr:from>
        <xdr:to>
          <xdr:col>5</xdr:col>
          <xdr:colOff>1343025</xdr:colOff>
          <xdr:row>52</xdr:row>
          <xdr:rowOff>19050</xdr:rowOff>
        </xdr:to>
        <xdr:sp macro="" textlink="">
          <xdr:nvSpPr>
            <xdr:cNvPr id="1478248" name="Scroll Bar 19048" hidden="1">
              <a:extLst>
                <a:ext uri="{63B3BB69-23CF-44E3-9099-C40C66FF867C}">
                  <a14:compatExt spid="_x0000_s147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52</xdr:row>
          <xdr:rowOff>19050</xdr:rowOff>
        </xdr:from>
        <xdr:to>
          <xdr:col>5</xdr:col>
          <xdr:colOff>1343025</xdr:colOff>
          <xdr:row>53</xdr:row>
          <xdr:rowOff>19050</xdr:rowOff>
        </xdr:to>
        <xdr:sp macro="" textlink="">
          <xdr:nvSpPr>
            <xdr:cNvPr id="1478249" name="Scroll Bar 19049" hidden="1">
              <a:extLst>
                <a:ext uri="{63B3BB69-23CF-44E3-9099-C40C66FF867C}">
                  <a14:compatExt spid="_x0000_s147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53</xdr:row>
          <xdr:rowOff>19050</xdr:rowOff>
        </xdr:from>
        <xdr:to>
          <xdr:col>5</xdr:col>
          <xdr:colOff>1343025</xdr:colOff>
          <xdr:row>54</xdr:row>
          <xdr:rowOff>19050</xdr:rowOff>
        </xdr:to>
        <xdr:sp macro="" textlink="">
          <xdr:nvSpPr>
            <xdr:cNvPr id="1478250" name="Scroll Bar 19050" hidden="1">
              <a:extLst>
                <a:ext uri="{63B3BB69-23CF-44E3-9099-C40C66FF867C}">
                  <a14:compatExt spid="_x0000_s147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54</xdr:row>
          <xdr:rowOff>19050</xdr:rowOff>
        </xdr:from>
        <xdr:to>
          <xdr:col>5</xdr:col>
          <xdr:colOff>1343025</xdr:colOff>
          <xdr:row>55</xdr:row>
          <xdr:rowOff>19050</xdr:rowOff>
        </xdr:to>
        <xdr:sp macro="" textlink="">
          <xdr:nvSpPr>
            <xdr:cNvPr id="1478251" name="Scroll Bar 19051" hidden="1">
              <a:extLst>
                <a:ext uri="{63B3BB69-23CF-44E3-9099-C40C66FF867C}">
                  <a14:compatExt spid="_x0000_s1478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55</xdr:row>
          <xdr:rowOff>19050</xdr:rowOff>
        </xdr:from>
        <xdr:to>
          <xdr:col>5</xdr:col>
          <xdr:colOff>1343025</xdr:colOff>
          <xdr:row>56</xdr:row>
          <xdr:rowOff>19050</xdr:rowOff>
        </xdr:to>
        <xdr:sp macro="" textlink="">
          <xdr:nvSpPr>
            <xdr:cNvPr id="1478252" name="Scroll Bar 19052" hidden="1">
              <a:extLst>
                <a:ext uri="{63B3BB69-23CF-44E3-9099-C40C66FF867C}">
                  <a14:compatExt spid="_x0000_s147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56</xdr:row>
          <xdr:rowOff>19050</xdr:rowOff>
        </xdr:from>
        <xdr:to>
          <xdr:col>5</xdr:col>
          <xdr:colOff>1343025</xdr:colOff>
          <xdr:row>57</xdr:row>
          <xdr:rowOff>19050</xdr:rowOff>
        </xdr:to>
        <xdr:sp macro="" textlink="">
          <xdr:nvSpPr>
            <xdr:cNvPr id="1478253" name="Scroll Bar 19053" hidden="1">
              <a:extLst>
                <a:ext uri="{63B3BB69-23CF-44E3-9099-C40C66FF867C}">
                  <a14:compatExt spid="_x0000_s147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57</xdr:row>
          <xdr:rowOff>19050</xdr:rowOff>
        </xdr:from>
        <xdr:to>
          <xdr:col>5</xdr:col>
          <xdr:colOff>1343025</xdr:colOff>
          <xdr:row>58</xdr:row>
          <xdr:rowOff>19050</xdr:rowOff>
        </xdr:to>
        <xdr:sp macro="" textlink="">
          <xdr:nvSpPr>
            <xdr:cNvPr id="1478254" name="Scroll Bar 19054" hidden="1">
              <a:extLst>
                <a:ext uri="{63B3BB69-23CF-44E3-9099-C40C66FF867C}">
                  <a14:compatExt spid="_x0000_s147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58</xdr:row>
          <xdr:rowOff>19050</xdr:rowOff>
        </xdr:from>
        <xdr:to>
          <xdr:col>5</xdr:col>
          <xdr:colOff>1343025</xdr:colOff>
          <xdr:row>59</xdr:row>
          <xdr:rowOff>19050</xdr:rowOff>
        </xdr:to>
        <xdr:sp macro="" textlink="">
          <xdr:nvSpPr>
            <xdr:cNvPr id="1478255" name="Scroll Bar 19055" hidden="1">
              <a:extLst>
                <a:ext uri="{63B3BB69-23CF-44E3-9099-C40C66FF867C}">
                  <a14:compatExt spid="_x0000_s147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59</xdr:row>
          <xdr:rowOff>19050</xdr:rowOff>
        </xdr:from>
        <xdr:to>
          <xdr:col>5</xdr:col>
          <xdr:colOff>1343025</xdr:colOff>
          <xdr:row>60</xdr:row>
          <xdr:rowOff>0</xdr:rowOff>
        </xdr:to>
        <xdr:sp macro="" textlink="">
          <xdr:nvSpPr>
            <xdr:cNvPr id="1478256" name="Scroll Bar 19056" hidden="1">
              <a:extLst>
                <a:ext uri="{63B3BB69-23CF-44E3-9099-C40C66FF867C}">
                  <a14:compatExt spid="_x0000_s147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60</xdr:row>
          <xdr:rowOff>19050</xdr:rowOff>
        </xdr:from>
        <xdr:to>
          <xdr:col>5</xdr:col>
          <xdr:colOff>1343025</xdr:colOff>
          <xdr:row>61</xdr:row>
          <xdr:rowOff>19050</xdr:rowOff>
        </xdr:to>
        <xdr:sp macro="" textlink="">
          <xdr:nvSpPr>
            <xdr:cNvPr id="1478259" name="Scroll Bar 19059" hidden="1">
              <a:extLst>
                <a:ext uri="{63B3BB69-23CF-44E3-9099-C40C66FF867C}">
                  <a14:compatExt spid="_x0000_s147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61</xdr:row>
          <xdr:rowOff>19050</xdr:rowOff>
        </xdr:from>
        <xdr:to>
          <xdr:col>5</xdr:col>
          <xdr:colOff>1343025</xdr:colOff>
          <xdr:row>62</xdr:row>
          <xdr:rowOff>0</xdr:rowOff>
        </xdr:to>
        <xdr:sp macro="" textlink="">
          <xdr:nvSpPr>
            <xdr:cNvPr id="1478260" name="Scroll Bar 19060" hidden="1">
              <a:extLst>
                <a:ext uri="{63B3BB69-23CF-44E3-9099-C40C66FF867C}">
                  <a14:compatExt spid="_x0000_s147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62</xdr:row>
          <xdr:rowOff>19050</xdr:rowOff>
        </xdr:from>
        <xdr:to>
          <xdr:col>5</xdr:col>
          <xdr:colOff>1343025</xdr:colOff>
          <xdr:row>63</xdr:row>
          <xdr:rowOff>19050</xdr:rowOff>
        </xdr:to>
        <xdr:sp macro="" textlink="">
          <xdr:nvSpPr>
            <xdr:cNvPr id="1478262" name="Scroll Bar 19062" hidden="1">
              <a:extLst>
                <a:ext uri="{63B3BB69-23CF-44E3-9099-C40C66FF867C}">
                  <a14:compatExt spid="_x0000_s147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63</xdr:row>
          <xdr:rowOff>19050</xdr:rowOff>
        </xdr:from>
        <xdr:to>
          <xdr:col>5</xdr:col>
          <xdr:colOff>1343025</xdr:colOff>
          <xdr:row>64</xdr:row>
          <xdr:rowOff>19050</xdr:rowOff>
        </xdr:to>
        <xdr:sp macro="" textlink="">
          <xdr:nvSpPr>
            <xdr:cNvPr id="1478263" name="Scroll Bar 19063" hidden="1">
              <a:extLst>
                <a:ext uri="{63B3BB69-23CF-44E3-9099-C40C66FF867C}">
                  <a14:compatExt spid="_x0000_s147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64</xdr:row>
          <xdr:rowOff>19050</xdr:rowOff>
        </xdr:from>
        <xdr:to>
          <xdr:col>5</xdr:col>
          <xdr:colOff>1343025</xdr:colOff>
          <xdr:row>65</xdr:row>
          <xdr:rowOff>19050</xdr:rowOff>
        </xdr:to>
        <xdr:sp macro="" textlink="">
          <xdr:nvSpPr>
            <xdr:cNvPr id="1478264" name="Scroll Bar 19064" hidden="1">
              <a:extLst>
                <a:ext uri="{63B3BB69-23CF-44E3-9099-C40C66FF867C}">
                  <a14:compatExt spid="_x0000_s147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65</xdr:row>
          <xdr:rowOff>19050</xdr:rowOff>
        </xdr:from>
        <xdr:to>
          <xdr:col>5</xdr:col>
          <xdr:colOff>1343025</xdr:colOff>
          <xdr:row>66</xdr:row>
          <xdr:rowOff>19050</xdr:rowOff>
        </xdr:to>
        <xdr:sp macro="" textlink="">
          <xdr:nvSpPr>
            <xdr:cNvPr id="1478265" name="Scroll Bar 19065" hidden="1">
              <a:extLst>
                <a:ext uri="{63B3BB69-23CF-44E3-9099-C40C66FF867C}">
                  <a14:compatExt spid="_x0000_s147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66</xdr:row>
          <xdr:rowOff>19050</xdr:rowOff>
        </xdr:from>
        <xdr:to>
          <xdr:col>5</xdr:col>
          <xdr:colOff>1343025</xdr:colOff>
          <xdr:row>67</xdr:row>
          <xdr:rowOff>19050</xdr:rowOff>
        </xdr:to>
        <xdr:sp macro="" textlink="">
          <xdr:nvSpPr>
            <xdr:cNvPr id="1478266" name="Scroll Bar 19066" hidden="1">
              <a:extLst>
                <a:ext uri="{63B3BB69-23CF-44E3-9099-C40C66FF867C}">
                  <a14:compatExt spid="_x0000_s147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69</xdr:row>
          <xdr:rowOff>19050</xdr:rowOff>
        </xdr:from>
        <xdr:to>
          <xdr:col>5</xdr:col>
          <xdr:colOff>1343025</xdr:colOff>
          <xdr:row>70</xdr:row>
          <xdr:rowOff>19050</xdr:rowOff>
        </xdr:to>
        <xdr:sp macro="" textlink="">
          <xdr:nvSpPr>
            <xdr:cNvPr id="1478268" name="Scroll Bar 19068" hidden="1">
              <a:extLst>
                <a:ext uri="{63B3BB69-23CF-44E3-9099-C40C66FF867C}">
                  <a14:compatExt spid="_x0000_s147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50</xdr:row>
          <xdr:rowOff>9525</xdr:rowOff>
        </xdr:from>
        <xdr:to>
          <xdr:col>5</xdr:col>
          <xdr:colOff>1343025</xdr:colOff>
          <xdr:row>51</xdr:row>
          <xdr:rowOff>9525</xdr:rowOff>
        </xdr:to>
        <xdr:sp macro="" textlink="">
          <xdr:nvSpPr>
            <xdr:cNvPr id="1478269" name="Scroll Bar 19069" hidden="1">
              <a:extLst>
                <a:ext uri="{63B3BB69-23CF-44E3-9099-C40C66FF867C}">
                  <a14:compatExt spid="_x0000_s147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70</xdr:row>
          <xdr:rowOff>28575</xdr:rowOff>
        </xdr:from>
        <xdr:to>
          <xdr:col>5</xdr:col>
          <xdr:colOff>1343025</xdr:colOff>
          <xdr:row>71</xdr:row>
          <xdr:rowOff>0</xdr:rowOff>
        </xdr:to>
        <xdr:sp macro="" textlink="">
          <xdr:nvSpPr>
            <xdr:cNvPr id="1478271" name="Scroll Bar 19071" hidden="1">
              <a:extLst>
                <a:ext uri="{63B3BB69-23CF-44E3-9099-C40C66FF867C}">
                  <a14:compatExt spid="_x0000_s1478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419100</xdr:colOff>
      <xdr:row>93</xdr:row>
      <xdr:rowOff>9525</xdr:rowOff>
    </xdr:from>
    <xdr:to>
      <xdr:col>9</xdr:col>
      <xdr:colOff>85725</xdr:colOff>
      <xdr:row>103</xdr:row>
      <xdr:rowOff>161925</xdr:rowOff>
    </xdr:to>
    <xdr:graphicFrame macro="">
      <xdr:nvGraphicFramePr>
        <xdr:cNvPr id="597" name="图表 366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94</xdr:row>
          <xdr:rowOff>0</xdr:rowOff>
        </xdr:from>
        <xdr:to>
          <xdr:col>5</xdr:col>
          <xdr:colOff>1419225</xdr:colOff>
          <xdr:row>94</xdr:row>
          <xdr:rowOff>152400</xdr:rowOff>
        </xdr:to>
        <xdr:sp macro="" textlink="">
          <xdr:nvSpPr>
            <xdr:cNvPr id="1478284" name="Scroll Bar 19084" hidden="1">
              <a:extLst>
                <a:ext uri="{63B3BB69-23CF-44E3-9099-C40C66FF867C}">
                  <a14:compatExt spid="_x0000_s1478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94</xdr:row>
          <xdr:rowOff>152400</xdr:rowOff>
        </xdr:from>
        <xdr:to>
          <xdr:col>5</xdr:col>
          <xdr:colOff>1419225</xdr:colOff>
          <xdr:row>95</xdr:row>
          <xdr:rowOff>142875</xdr:rowOff>
        </xdr:to>
        <xdr:sp macro="" textlink="">
          <xdr:nvSpPr>
            <xdr:cNvPr id="1478285" name="Scroll Bar 19085" hidden="1">
              <a:extLst>
                <a:ext uri="{63B3BB69-23CF-44E3-9099-C40C66FF867C}">
                  <a14:compatExt spid="_x0000_s1478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95</xdr:row>
          <xdr:rowOff>152400</xdr:rowOff>
        </xdr:from>
        <xdr:to>
          <xdr:col>5</xdr:col>
          <xdr:colOff>1419225</xdr:colOff>
          <xdr:row>96</xdr:row>
          <xdr:rowOff>133350</xdr:rowOff>
        </xdr:to>
        <xdr:sp macro="" textlink="">
          <xdr:nvSpPr>
            <xdr:cNvPr id="1478286" name="Scroll Bar 19086" hidden="1">
              <a:extLst>
                <a:ext uri="{63B3BB69-23CF-44E3-9099-C40C66FF867C}">
                  <a14:compatExt spid="_x0000_s1478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96</xdr:row>
          <xdr:rowOff>142875</xdr:rowOff>
        </xdr:from>
        <xdr:to>
          <xdr:col>5</xdr:col>
          <xdr:colOff>1419225</xdr:colOff>
          <xdr:row>97</xdr:row>
          <xdr:rowOff>142875</xdr:rowOff>
        </xdr:to>
        <xdr:sp macro="" textlink="">
          <xdr:nvSpPr>
            <xdr:cNvPr id="1478287" name="Scroll Bar 19087" hidden="1">
              <a:extLst>
                <a:ext uri="{63B3BB69-23CF-44E3-9099-C40C66FF867C}">
                  <a14:compatExt spid="_x0000_s1478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97</xdr:row>
          <xdr:rowOff>152400</xdr:rowOff>
        </xdr:from>
        <xdr:to>
          <xdr:col>5</xdr:col>
          <xdr:colOff>1419225</xdr:colOff>
          <xdr:row>98</xdr:row>
          <xdr:rowOff>142875</xdr:rowOff>
        </xdr:to>
        <xdr:sp macro="" textlink="">
          <xdr:nvSpPr>
            <xdr:cNvPr id="1478288" name="Scroll Bar 19088" hidden="1">
              <a:extLst>
                <a:ext uri="{63B3BB69-23CF-44E3-9099-C40C66FF867C}">
                  <a14:compatExt spid="_x0000_s1478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98</xdr:row>
          <xdr:rowOff>152400</xdr:rowOff>
        </xdr:from>
        <xdr:to>
          <xdr:col>5</xdr:col>
          <xdr:colOff>1419225</xdr:colOff>
          <xdr:row>100</xdr:row>
          <xdr:rowOff>0</xdr:rowOff>
        </xdr:to>
        <xdr:sp macro="" textlink="">
          <xdr:nvSpPr>
            <xdr:cNvPr id="1478289" name="Scroll Bar 19089" hidden="1">
              <a:extLst>
                <a:ext uri="{63B3BB69-23CF-44E3-9099-C40C66FF867C}">
                  <a14:compatExt spid="_x0000_s1478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419100</xdr:colOff>
      <xdr:row>108</xdr:row>
      <xdr:rowOff>9525</xdr:rowOff>
    </xdr:from>
    <xdr:to>
      <xdr:col>9</xdr:col>
      <xdr:colOff>85725</xdr:colOff>
      <xdr:row>118</xdr:row>
      <xdr:rowOff>161925</xdr:rowOff>
    </xdr:to>
    <xdr:graphicFrame macro="">
      <xdr:nvGraphicFramePr>
        <xdr:cNvPr id="616" name="图表 366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109</xdr:row>
          <xdr:rowOff>0</xdr:rowOff>
        </xdr:from>
        <xdr:to>
          <xdr:col>5</xdr:col>
          <xdr:colOff>1419225</xdr:colOff>
          <xdr:row>109</xdr:row>
          <xdr:rowOff>152400</xdr:rowOff>
        </xdr:to>
        <xdr:sp macro="" textlink="">
          <xdr:nvSpPr>
            <xdr:cNvPr id="1478293" name="Scroll Bar 19093" hidden="1">
              <a:extLst>
                <a:ext uri="{63B3BB69-23CF-44E3-9099-C40C66FF867C}">
                  <a14:compatExt spid="_x0000_s1478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109</xdr:row>
          <xdr:rowOff>152400</xdr:rowOff>
        </xdr:from>
        <xdr:to>
          <xdr:col>5</xdr:col>
          <xdr:colOff>1419225</xdr:colOff>
          <xdr:row>110</xdr:row>
          <xdr:rowOff>142875</xdr:rowOff>
        </xdr:to>
        <xdr:sp macro="" textlink="">
          <xdr:nvSpPr>
            <xdr:cNvPr id="1478294" name="Scroll Bar 19094" hidden="1">
              <a:extLst>
                <a:ext uri="{63B3BB69-23CF-44E3-9099-C40C66FF867C}">
                  <a14:compatExt spid="_x0000_s1478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110</xdr:row>
          <xdr:rowOff>152400</xdr:rowOff>
        </xdr:from>
        <xdr:to>
          <xdr:col>5</xdr:col>
          <xdr:colOff>1419225</xdr:colOff>
          <xdr:row>111</xdr:row>
          <xdr:rowOff>133350</xdr:rowOff>
        </xdr:to>
        <xdr:sp macro="" textlink="">
          <xdr:nvSpPr>
            <xdr:cNvPr id="1478295" name="Scroll Bar 19095" hidden="1">
              <a:extLst>
                <a:ext uri="{63B3BB69-23CF-44E3-9099-C40C66FF867C}">
                  <a14:compatExt spid="_x0000_s1478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111</xdr:row>
          <xdr:rowOff>142875</xdr:rowOff>
        </xdr:from>
        <xdr:to>
          <xdr:col>5</xdr:col>
          <xdr:colOff>1419225</xdr:colOff>
          <xdr:row>112</xdr:row>
          <xdr:rowOff>142875</xdr:rowOff>
        </xdr:to>
        <xdr:sp macro="" textlink="">
          <xdr:nvSpPr>
            <xdr:cNvPr id="1478296" name="Scroll Bar 19096" hidden="1">
              <a:extLst>
                <a:ext uri="{63B3BB69-23CF-44E3-9099-C40C66FF867C}">
                  <a14:compatExt spid="_x0000_s1478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112</xdr:row>
          <xdr:rowOff>152400</xdr:rowOff>
        </xdr:from>
        <xdr:to>
          <xdr:col>5</xdr:col>
          <xdr:colOff>1419225</xdr:colOff>
          <xdr:row>113</xdr:row>
          <xdr:rowOff>142875</xdr:rowOff>
        </xdr:to>
        <xdr:sp macro="" textlink="">
          <xdr:nvSpPr>
            <xdr:cNvPr id="1478297" name="Scroll Bar 19097" hidden="1">
              <a:extLst>
                <a:ext uri="{63B3BB69-23CF-44E3-9099-C40C66FF867C}">
                  <a14:compatExt spid="_x0000_s1478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113</xdr:row>
          <xdr:rowOff>152400</xdr:rowOff>
        </xdr:from>
        <xdr:to>
          <xdr:col>5</xdr:col>
          <xdr:colOff>1419225</xdr:colOff>
          <xdr:row>115</xdr:row>
          <xdr:rowOff>0</xdr:rowOff>
        </xdr:to>
        <xdr:sp macro="" textlink="">
          <xdr:nvSpPr>
            <xdr:cNvPr id="1478298" name="Scroll Bar 19098" hidden="1">
              <a:extLst>
                <a:ext uri="{63B3BB69-23CF-44E3-9099-C40C66FF867C}">
                  <a14:compatExt spid="_x0000_s1478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67</xdr:row>
          <xdr:rowOff>19050</xdr:rowOff>
        </xdr:from>
        <xdr:to>
          <xdr:col>5</xdr:col>
          <xdr:colOff>1343025</xdr:colOff>
          <xdr:row>68</xdr:row>
          <xdr:rowOff>19050</xdr:rowOff>
        </xdr:to>
        <xdr:sp macro="" textlink="">
          <xdr:nvSpPr>
            <xdr:cNvPr id="1478342" name="Scroll Bar 19142" hidden="1">
              <a:extLst>
                <a:ext uri="{63B3BB69-23CF-44E3-9099-C40C66FF867C}">
                  <a14:compatExt spid="_x0000_s14783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68</xdr:row>
          <xdr:rowOff>19050</xdr:rowOff>
        </xdr:from>
        <xdr:to>
          <xdr:col>5</xdr:col>
          <xdr:colOff>1343025</xdr:colOff>
          <xdr:row>69</xdr:row>
          <xdr:rowOff>19050</xdr:rowOff>
        </xdr:to>
        <xdr:sp macro="" textlink="">
          <xdr:nvSpPr>
            <xdr:cNvPr id="1478343" name="Scroll Bar 19143" hidden="1">
              <a:extLst>
                <a:ext uri="{63B3BB69-23CF-44E3-9099-C40C66FF867C}">
                  <a14:compatExt spid="_x0000_s14783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70</xdr:row>
          <xdr:rowOff>19050</xdr:rowOff>
        </xdr:from>
        <xdr:to>
          <xdr:col>5</xdr:col>
          <xdr:colOff>1343025</xdr:colOff>
          <xdr:row>71</xdr:row>
          <xdr:rowOff>19050</xdr:rowOff>
        </xdr:to>
        <xdr:sp macro="" textlink="">
          <xdr:nvSpPr>
            <xdr:cNvPr id="1478344" name="Scroll Bar 19144" hidden="1">
              <a:extLst>
                <a:ext uri="{63B3BB69-23CF-44E3-9099-C40C66FF867C}">
                  <a14:compatExt spid="_x0000_s14783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71</xdr:row>
          <xdr:rowOff>28575</xdr:rowOff>
        </xdr:from>
        <xdr:to>
          <xdr:col>5</xdr:col>
          <xdr:colOff>1343025</xdr:colOff>
          <xdr:row>72</xdr:row>
          <xdr:rowOff>0</xdr:rowOff>
        </xdr:to>
        <xdr:sp macro="" textlink="">
          <xdr:nvSpPr>
            <xdr:cNvPr id="1478345" name="Scroll Bar 19145" hidden="1">
              <a:extLst>
                <a:ext uri="{63B3BB69-23CF-44E3-9099-C40C66FF867C}">
                  <a14:compatExt spid="_x0000_s1478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143</xdr:row>
          <xdr:rowOff>0</xdr:rowOff>
        </xdr:from>
        <xdr:to>
          <xdr:col>2</xdr:col>
          <xdr:colOff>1400175</xdr:colOff>
          <xdr:row>143</xdr:row>
          <xdr:rowOff>152400</xdr:rowOff>
        </xdr:to>
        <xdr:sp macro="" textlink="">
          <xdr:nvSpPr>
            <xdr:cNvPr id="1478346" name="Scroll Bar 19146" hidden="1">
              <a:extLst>
                <a:ext uri="{63B3BB69-23CF-44E3-9099-C40C66FF867C}">
                  <a14:compatExt spid="_x0000_s14783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419100</xdr:colOff>
      <xdr:row>123</xdr:row>
      <xdr:rowOff>9525</xdr:rowOff>
    </xdr:from>
    <xdr:to>
      <xdr:col>9</xdr:col>
      <xdr:colOff>85725</xdr:colOff>
      <xdr:row>133</xdr:row>
      <xdr:rowOff>161925</xdr:rowOff>
    </xdr:to>
    <xdr:graphicFrame macro="">
      <xdr:nvGraphicFramePr>
        <xdr:cNvPr id="533" name="图表 366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124</xdr:row>
          <xdr:rowOff>0</xdr:rowOff>
        </xdr:from>
        <xdr:to>
          <xdr:col>5</xdr:col>
          <xdr:colOff>1419225</xdr:colOff>
          <xdr:row>124</xdr:row>
          <xdr:rowOff>152400</xdr:rowOff>
        </xdr:to>
        <xdr:sp macro="" textlink="">
          <xdr:nvSpPr>
            <xdr:cNvPr id="1478347" name="Scroll Bar 19147" hidden="1">
              <a:extLst>
                <a:ext uri="{63B3BB69-23CF-44E3-9099-C40C66FF867C}">
                  <a14:compatExt spid="_x0000_s1478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124</xdr:row>
          <xdr:rowOff>152400</xdr:rowOff>
        </xdr:from>
        <xdr:to>
          <xdr:col>5</xdr:col>
          <xdr:colOff>1419225</xdr:colOff>
          <xdr:row>125</xdr:row>
          <xdr:rowOff>142875</xdr:rowOff>
        </xdr:to>
        <xdr:sp macro="" textlink="">
          <xdr:nvSpPr>
            <xdr:cNvPr id="1478348" name="Scroll Bar 19148" hidden="1">
              <a:extLst>
                <a:ext uri="{63B3BB69-23CF-44E3-9099-C40C66FF867C}">
                  <a14:compatExt spid="_x0000_s14783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125</xdr:row>
          <xdr:rowOff>152400</xdr:rowOff>
        </xdr:from>
        <xdr:to>
          <xdr:col>5</xdr:col>
          <xdr:colOff>1419225</xdr:colOff>
          <xdr:row>126</xdr:row>
          <xdr:rowOff>133350</xdr:rowOff>
        </xdr:to>
        <xdr:sp macro="" textlink="">
          <xdr:nvSpPr>
            <xdr:cNvPr id="1478349" name="Scroll Bar 19149" hidden="1">
              <a:extLst>
                <a:ext uri="{63B3BB69-23CF-44E3-9099-C40C66FF867C}">
                  <a14:compatExt spid="_x0000_s1478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126</xdr:row>
          <xdr:rowOff>142875</xdr:rowOff>
        </xdr:from>
        <xdr:to>
          <xdr:col>5</xdr:col>
          <xdr:colOff>1419225</xdr:colOff>
          <xdr:row>127</xdr:row>
          <xdr:rowOff>142875</xdr:rowOff>
        </xdr:to>
        <xdr:sp macro="" textlink="">
          <xdr:nvSpPr>
            <xdr:cNvPr id="1478350" name="Scroll Bar 19150" hidden="1">
              <a:extLst>
                <a:ext uri="{63B3BB69-23CF-44E3-9099-C40C66FF867C}">
                  <a14:compatExt spid="_x0000_s14783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127</xdr:row>
          <xdr:rowOff>152400</xdr:rowOff>
        </xdr:from>
        <xdr:to>
          <xdr:col>5</xdr:col>
          <xdr:colOff>1419225</xdr:colOff>
          <xdr:row>128</xdr:row>
          <xdr:rowOff>142875</xdr:rowOff>
        </xdr:to>
        <xdr:sp macro="" textlink="">
          <xdr:nvSpPr>
            <xdr:cNvPr id="1478351" name="Scroll Bar 19151" hidden="1">
              <a:extLst>
                <a:ext uri="{63B3BB69-23CF-44E3-9099-C40C66FF867C}">
                  <a14:compatExt spid="_x0000_s14783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128</xdr:row>
          <xdr:rowOff>152400</xdr:rowOff>
        </xdr:from>
        <xdr:to>
          <xdr:col>5</xdr:col>
          <xdr:colOff>1419225</xdr:colOff>
          <xdr:row>130</xdr:row>
          <xdr:rowOff>0</xdr:rowOff>
        </xdr:to>
        <xdr:sp macro="" textlink="">
          <xdr:nvSpPr>
            <xdr:cNvPr id="1478352" name="Scroll Bar 19152" hidden="1">
              <a:extLst>
                <a:ext uri="{63B3BB69-23CF-44E3-9099-C40C66FF867C}">
                  <a14:compatExt spid="_x0000_s14783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419100</xdr:colOff>
      <xdr:row>169</xdr:row>
      <xdr:rowOff>9525</xdr:rowOff>
    </xdr:from>
    <xdr:to>
      <xdr:col>9</xdr:col>
      <xdr:colOff>85725</xdr:colOff>
      <xdr:row>179</xdr:row>
      <xdr:rowOff>161925</xdr:rowOff>
    </xdr:to>
    <xdr:graphicFrame macro="">
      <xdr:nvGraphicFramePr>
        <xdr:cNvPr id="515" name="图表 366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170</xdr:row>
          <xdr:rowOff>9525</xdr:rowOff>
        </xdr:from>
        <xdr:to>
          <xdr:col>2</xdr:col>
          <xdr:colOff>1400175</xdr:colOff>
          <xdr:row>171</xdr:row>
          <xdr:rowOff>0</xdr:rowOff>
        </xdr:to>
        <xdr:sp macro="" textlink="">
          <xdr:nvSpPr>
            <xdr:cNvPr id="1478353" name="Scroll Bar 19153" hidden="1">
              <a:extLst>
                <a:ext uri="{63B3BB69-23CF-44E3-9099-C40C66FF867C}">
                  <a14:compatExt spid="_x0000_s1478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171</xdr:row>
          <xdr:rowOff>9525</xdr:rowOff>
        </xdr:from>
        <xdr:to>
          <xdr:col>2</xdr:col>
          <xdr:colOff>1400175</xdr:colOff>
          <xdr:row>171</xdr:row>
          <xdr:rowOff>161925</xdr:rowOff>
        </xdr:to>
        <xdr:sp macro="" textlink="">
          <xdr:nvSpPr>
            <xdr:cNvPr id="1478354" name="Scroll Bar 19154" hidden="1">
              <a:extLst>
                <a:ext uri="{63B3BB69-23CF-44E3-9099-C40C66FF867C}">
                  <a14:compatExt spid="_x0000_s14783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172</xdr:row>
          <xdr:rowOff>0</xdr:rowOff>
        </xdr:from>
        <xdr:to>
          <xdr:col>2</xdr:col>
          <xdr:colOff>1400175</xdr:colOff>
          <xdr:row>172</xdr:row>
          <xdr:rowOff>152400</xdr:rowOff>
        </xdr:to>
        <xdr:sp macro="" textlink="">
          <xdr:nvSpPr>
            <xdr:cNvPr id="1478355" name="Scroll Bar 19155" hidden="1">
              <a:extLst>
                <a:ext uri="{63B3BB69-23CF-44E3-9099-C40C66FF867C}">
                  <a14:compatExt spid="_x0000_s14783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173</xdr:row>
          <xdr:rowOff>0</xdr:rowOff>
        </xdr:from>
        <xdr:to>
          <xdr:col>2</xdr:col>
          <xdr:colOff>1400175</xdr:colOff>
          <xdr:row>173</xdr:row>
          <xdr:rowOff>152400</xdr:rowOff>
        </xdr:to>
        <xdr:sp macro="" textlink="">
          <xdr:nvSpPr>
            <xdr:cNvPr id="1478356" name="Scroll Bar 19156" hidden="1">
              <a:extLst>
                <a:ext uri="{63B3BB69-23CF-44E3-9099-C40C66FF867C}">
                  <a14:compatExt spid="_x0000_s14783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174</xdr:row>
          <xdr:rowOff>0</xdr:rowOff>
        </xdr:from>
        <xdr:to>
          <xdr:col>2</xdr:col>
          <xdr:colOff>1400175</xdr:colOff>
          <xdr:row>174</xdr:row>
          <xdr:rowOff>152400</xdr:rowOff>
        </xdr:to>
        <xdr:sp macro="" textlink="">
          <xdr:nvSpPr>
            <xdr:cNvPr id="1478357" name="Scroll Bar 19157" hidden="1">
              <a:extLst>
                <a:ext uri="{63B3BB69-23CF-44E3-9099-C40C66FF867C}">
                  <a14:compatExt spid="_x0000_s14783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175</xdr:row>
          <xdr:rowOff>9525</xdr:rowOff>
        </xdr:from>
        <xdr:to>
          <xdr:col>2</xdr:col>
          <xdr:colOff>1400175</xdr:colOff>
          <xdr:row>176</xdr:row>
          <xdr:rowOff>0</xdr:rowOff>
        </xdr:to>
        <xdr:sp macro="" textlink="">
          <xdr:nvSpPr>
            <xdr:cNvPr id="1478358" name="Scroll Bar 19158" hidden="1">
              <a:extLst>
                <a:ext uri="{63B3BB69-23CF-44E3-9099-C40C66FF867C}">
                  <a14:compatExt spid="_x0000_s14783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176</xdr:row>
          <xdr:rowOff>9525</xdr:rowOff>
        </xdr:from>
        <xdr:to>
          <xdr:col>2</xdr:col>
          <xdr:colOff>1400175</xdr:colOff>
          <xdr:row>177</xdr:row>
          <xdr:rowOff>0</xdr:rowOff>
        </xdr:to>
        <xdr:sp macro="" textlink="">
          <xdr:nvSpPr>
            <xdr:cNvPr id="1478359" name="Scroll Bar 19159" hidden="1">
              <a:extLst>
                <a:ext uri="{63B3BB69-23CF-44E3-9099-C40C66FF867C}">
                  <a14:compatExt spid="_x0000_s14783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170</xdr:row>
          <xdr:rowOff>0</xdr:rowOff>
        </xdr:from>
        <xdr:to>
          <xdr:col>5</xdr:col>
          <xdr:colOff>1419225</xdr:colOff>
          <xdr:row>170</xdr:row>
          <xdr:rowOff>152400</xdr:rowOff>
        </xdr:to>
        <xdr:sp macro="" textlink="">
          <xdr:nvSpPr>
            <xdr:cNvPr id="1478360" name="Scroll Bar 19160" hidden="1">
              <a:extLst>
                <a:ext uri="{63B3BB69-23CF-44E3-9099-C40C66FF867C}">
                  <a14:compatExt spid="_x0000_s14783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170</xdr:row>
          <xdr:rowOff>152400</xdr:rowOff>
        </xdr:from>
        <xdr:to>
          <xdr:col>5</xdr:col>
          <xdr:colOff>1419225</xdr:colOff>
          <xdr:row>171</xdr:row>
          <xdr:rowOff>142875</xdr:rowOff>
        </xdr:to>
        <xdr:sp macro="" textlink="">
          <xdr:nvSpPr>
            <xdr:cNvPr id="1478361" name="Scroll Bar 19161" hidden="1">
              <a:extLst>
                <a:ext uri="{63B3BB69-23CF-44E3-9099-C40C66FF867C}">
                  <a14:compatExt spid="_x0000_s1478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171</xdr:row>
          <xdr:rowOff>152400</xdr:rowOff>
        </xdr:from>
        <xdr:to>
          <xdr:col>5</xdr:col>
          <xdr:colOff>1419225</xdr:colOff>
          <xdr:row>172</xdr:row>
          <xdr:rowOff>133350</xdr:rowOff>
        </xdr:to>
        <xdr:sp macro="" textlink="">
          <xdr:nvSpPr>
            <xdr:cNvPr id="1478362" name="Scroll Bar 19162" hidden="1">
              <a:extLst>
                <a:ext uri="{63B3BB69-23CF-44E3-9099-C40C66FF867C}">
                  <a14:compatExt spid="_x0000_s1478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172</xdr:row>
          <xdr:rowOff>142875</xdr:rowOff>
        </xdr:from>
        <xdr:to>
          <xdr:col>5</xdr:col>
          <xdr:colOff>1419225</xdr:colOff>
          <xdr:row>173</xdr:row>
          <xdr:rowOff>142875</xdr:rowOff>
        </xdr:to>
        <xdr:sp macro="" textlink="">
          <xdr:nvSpPr>
            <xdr:cNvPr id="1478363" name="Scroll Bar 19163" hidden="1">
              <a:extLst>
                <a:ext uri="{63B3BB69-23CF-44E3-9099-C40C66FF867C}">
                  <a14:compatExt spid="_x0000_s1478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173</xdr:row>
          <xdr:rowOff>152400</xdr:rowOff>
        </xdr:from>
        <xdr:to>
          <xdr:col>5</xdr:col>
          <xdr:colOff>1419225</xdr:colOff>
          <xdr:row>174</xdr:row>
          <xdr:rowOff>142875</xdr:rowOff>
        </xdr:to>
        <xdr:sp macro="" textlink="">
          <xdr:nvSpPr>
            <xdr:cNvPr id="1478364" name="Scroll Bar 19164" hidden="1">
              <a:extLst>
                <a:ext uri="{63B3BB69-23CF-44E3-9099-C40C66FF867C}">
                  <a14:compatExt spid="_x0000_s1478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174</xdr:row>
          <xdr:rowOff>152400</xdr:rowOff>
        </xdr:from>
        <xdr:to>
          <xdr:col>5</xdr:col>
          <xdr:colOff>1419225</xdr:colOff>
          <xdr:row>176</xdr:row>
          <xdr:rowOff>0</xdr:rowOff>
        </xdr:to>
        <xdr:sp macro="" textlink="">
          <xdr:nvSpPr>
            <xdr:cNvPr id="1478365" name="Scroll Bar 19165" hidden="1">
              <a:extLst>
                <a:ext uri="{63B3BB69-23CF-44E3-9099-C40C66FF867C}">
                  <a14:compatExt spid="_x0000_s1478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175</xdr:row>
          <xdr:rowOff>152400</xdr:rowOff>
        </xdr:from>
        <xdr:to>
          <xdr:col>5</xdr:col>
          <xdr:colOff>1419225</xdr:colOff>
          <xdr:row>176</xdr:row>
          <xdr:rowOff>152400</xdr:rowOff>
        </xdr:to>
        <xdr:sp macro="" textlink="">
          <xdr:nvSpPr>
            <xdr:cNvPr id="1478366" name="Scroll Bar 19166" hidden="1">
              <a:extLst>
                <a:ext uri="{63B3BB69-23CF-44E3-9099-C40C66FF867C}">
                  <a14:compatExt spid="_x0000_s1478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85</xdr:row>
          <xdr:rowOff>9525</xdr:rowOff>
        </xdr:from>
        <xdr:to>
          <xdr:col>2</xdr:col>
          <xdr:colOff>1400175</xdr:colOff>
          <xdr:row>86</xdr:row>
          <xdr:rowOff>9525</xdr:rowOff>
        </xdr:to>
        <xdr:sp macro="" textlink="">
          <xdr:nvSpPr>
            <xdr:cNvPr id="1478367" name="Scroll Bar 19167" hidden="1">
              <a:extLst>
                <a:ext uri="{63B3BB69-23CF-44E3-9099-C40C66FF867C}">
                  <a14:compatExt spid="_x0000_s1478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85</xdr:row>
          <xdr:rowOff>9525</xdr:rowOff>
        </xdr:from>
        <xdr:to>
          <xdr:col>5</xdr:col>
          <xdr:colOff>1419225</xdr:colOff>
          <xdr:row>86</xdr:row>
          <xdr:rowOff>19050</xdr:rowOff>
        </xdr:to>
        <xdr:sp macro="" textlink="">
          <xdr:nvSpPr>
            <xdr:cNvPr id="1478368" name="Scroll Bar 19168" hidden="1">
              <a:extLst>
                <a:ext uri="{63B3BB69-23CF-44E3-9099-C40C66FF867C}">
                  <a14:compatExt spid="_x0000_s1478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100</xdr:row>
          <xdr:rowOff>19050</xdr:rowOff>
        </xdr:from>
        <xdr:to>
          <xdr:col>5</xdr:col>
          <xdr:colOff>1419225</xdr:colOff>
          <xdr:row>101</xdr:row>
          <xdr:rowOff>28575</xdr:rowOff>
        </xdr:to>
        <xdr:sp macro="" textlink="">
          <xdr:nvSpPr>
            <xdr:cNvPr id="1478369" name="Scroll Bar 19169" hidden="1">
              <a:extLst>
                <a:ext uri="{63B3BB69-23CF-44E3-9099-C40C66FF867C}">
                  <a14:compatExt spid="_x0000_s1478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114</xdr:row>
          <xdr:rowOff>142875</xdr:rowOff>
        </xdr:from>
        <xdr:to>
          <xdr:col>5</xdr:col>
          <xdr:colOff>1419225</xdr:colOff>
          <xdr:row>115</xdr:row>
          <xdr:rowOff>142875</xdr:rowOff>
        </xdr:to>
        <xdr:sp macro="" textlink="">
          <xdr:nvSpPr>
            <xdr:cNvPr id="1478370" name="Scroll Bar 19170" hidden="1">
              <a:extLst>
                <a:ext uri="{63B3BB69-23CF-44E3-9099-C40C66FF867C}">
                  <a14:compatExt spid="_x0000_s1478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130</xdr:row>
          <xdr:rowOff>9525</xdr:rowOff>
        </xdr:from>
        <xdr:to>
          <xdr:col>5</xdr:col>
          <xdr:colOff>1419225</xdr:colOff>
          <xdr:row>131</xdr:row>
          <xdr:rowOff>9525</xdr:rowOff>
        </xdr:to>
        <xdr:sp macro="" textlink="">
          <xdr:nvSpPr>
            <xdr:cNvPr id="1478371" name="Scroll Bar 19171" hidden="1">
              <a:extLst>
                <a:ext uri="{63B3BB69-23CF-44E3-9099-C40C66FF867C}">
                  <a14:compatExt spid="_x0000_s1478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6.xml"/><Relationship Id="rId299" Type="http://schemas.openxmlformats.org/officeDocument/2006/relationships/ctrlProp" Target="../ctrlProps/ctrlProp298.xml"/><Relationship Id="rId21" Type="http://schemas.openxmlformats.org/officeDocument/2006/relationships/ctrlProp" Target="../ctrlProps/ctrlProp20.xml"/><Relationship Id="rId63" Type="http://schemas.openxmlformats.org/officeDocument/2006/relationships/ctrlProp" Target="../ctrlProps/ctrlProp62.xml"/><Relationship Id="rId159" Type="http://schemas.openxmlformats.org/officeDocument/2006/relationships/ctrlProp" Target="../ctrlProps/ctrlProp158.xml"/><Relationship Id="rId324" Type="http://schemas.openxmlformats.org/officeDocument/2006/relationships/ctrlProp" Target="../ctrlProps/ctrlProp323.xml"/><Relationship Id="rId366" Type="http://schemas.openxmlformats.org/officeDocument/2006/relationships/ctrlProp" Target="../ctrlProps/ctrlProp365.xml"/><Relationship Id="rId170" Type="http://schemas.openxmlformats.org/officeDocument/2006/relationships/ctrlProp" Target="../ctrlProps/ctrlProp169.xml"/><Relationship Id="rId226" Type="http://schemas.openxmlformats.org/officeDocument/2006/relationships/ctrlProp" Target="../ctrlProps/ctrlProp225.xml"/><Relationship Id="rId268" Type="http://schemas.openxmlformats.org/officeDocument/2006/relationships/ctrlProp" Target="../ctrlProps/ctrlProp267.xml"/><Relationship Id="rId32" Type="http://schemas.openxmlformats.org/officeDocument/2006/relationships/ctrlProp" Target="../ctrlProps/ctrlProp31.xml"/><Relationship Id="rId74" Type="http://schemas.openxmlformats.org/officeDocument/2006/relationships/ctrlProp" Target="../ctrlProps/ctrlProp73.xml"/><Relationship Id="rId128" Type="http://schemas.openxmlformats.org/officeDocument/2006/relationships/ctrlProp" Target="../ctrlProps/ctrlProp127.xml"/><Relationship Id="rId335" Type="http://schemas.openxmlformats.org/officeDocument/2006/relationships/ctrlProp" Target="../ctrlProps/ctrlProp334.xml"/><Relationship Id="rId377" Type="http://schemas.openxmlformats.org/officeDocument/2006/relationships/ctrlProp" Target="../ctrlProps/ctrlProp376.xml"/><Relationship Id="rId5" Type="http://schemas.openxmlformats.org/officeDocument/2006/relationships/ctrlProp" Target="../ctrlProps/ctrlProp4.xml"/><Relationship Id="rId181" Type="http://schemas.openxmlformats.org/officeDocument/2006/relationships/ctrlProp" Target="../ctrlProps/ctrlProp180.xml"/><Relationship Id="rId237" Type="http://schemas.openxmlformats.org/officeDocument/2006/relationships/ctrlProp" Target="../ctrlProps/ctrlProp236.xml"/><Relationship Id="rId402" Type="http://schemas.openxmlformats.org/officeDocument/2006/relationships/ctrlProp" Target="../ctrlProps/ctrlProp401.xml"/><Relationship Id="rId279" Type="http://schemas.openxmlformats.org/officeDocument/2006/relationships/ctrlProp" Target="../ctrlProps/ctrlProp278.xml"/><Relationship Id="rId22" Type="http://schemas.openxmlformats.org/officeDocument/2006/relationships/ctrlProp" Target="../ctrlProps/ctrlProp21.xml"/><Relationship Id="rId43" Type="http://schemas.openxmlformats.org/officeDocument/2006/relationships/ctrlProp" Target="../ctrlProps/ctrlProp42.xml"/><Relationship Id="rId64" Type="http://schemas.openxmlformats.org/officeDocument/2006/relationships/ctrlProp" Target="../ctrlProps/ctrlProp63.xml"/><Relationship Id="rId118" Type="http://schemas.openxmlformats.org/officeDocument/2006/relationships/ctrlProp" Target="../ctrlProps/ctrlProp117.xml"/><Relationship Id="rId139" Type="http://schemas.openxmlformats.org/officeDocument/2006/relationships/ctrlProp" Target="../ctrlProps/ctrlProp138.xml"/><Relationship Id="rId290" Type="http://schemas.openxmlformats.org/officeDocument/2006/relationships/ctrlProp" Target="../ctrlProps/ctrlProp289.xml"/><Relationship Id="rId304" Type="http://schemas.openxmlformats.org/officeDocument/2006/relationships/ctrlProp" Target="../ctrlProps/ctrlProp303.xml"/><Relationship Id="rId325" Type="http://schemas.openxmlformats.org/officeDocument/2006/relationships/ctrlProp" Target="../ctrlProps/ctrlProp324.xml"/><Relationship Id="rId346" Type="http://schemas.openxmlformats.org/officeDocument/2006/relationships/ctrlProp" Target="../ctrlProps/ctrlProp345.xml"/><Relationship Id="rId367" Type="http://schemas.openxmlformats.org/officeDocument/2006/relationships/ctrlProp" Target="../ctrlProps/ctrlProp366.xml"/><Relationship Id="rId388" Type="http://schemas.openxmlformats.org/officeDocument/2006/relationships/ctrlProp" Target="../ctrlProps/ctrlProp387.xml"/><Relationship Id="rId85" Type="http://schemas.openxmlformats.org/officeDocument/2006/relationships/ctrlProp" Target="../ctrlProps/ctrlProp84.xml"/><Relationship Id="rId150" Type="http://schemas.openxmlformats.org/officeDocument/2006/relationships/ctrlProp" Target="../ctrlProps/ctrlProp149.xml"/><Relationship Id="rId171" Type="http://schemas.openxmlformats.org/officeDocument/2006/relationships/ctrlProp" Target="../ctrlProps/ctrlProp170.xml"/><Relationship Id="rId192" Type="http://schemas.openxmlformats.org/officeDocument/2006/relationships/ctrlProp" Target="../ctrlProps/ctrlProp191.xml"/><Relationship Id="rId206" Type="http://schemas.openxmlformats.org/officeDocument/2006/relationships/ctrlProp" Target="../ctrlProps/ctrlProp205.xml"/><Relationship Id="rId227" Type="http://schemas.openxmlformats.org/officeDocument/2006/relationships/ctrlProp" Target="../ctrlProps/ctrlProp226.xml"/><Relationship Id="rId413" Type="http://schemas.openxmlformats.org/officeDocument/2006/relationships/ctrlProp" Target="../ctrlProps/ctrlProp412.xml"/><Relationship Id="rId248" Type="http://schemas.openxmlformats.org/officeDocument/2006/relationships/ctrlProp" Target="../ctrlProps/ctrlProp247.xml"/><Relationship Id="rId269" Type="http://schemas.openxmlformats.org/officeDocument/2006/relationships/ctrlProp" Target="../ctrlProps/ctrlProp268.xml"/><Relationship Id="rId12" Type="http://schemas.openxmlformats.org/officeDocument/2006/relationships/ctrlProp" Target="../ctrlProps/ctrlProp11.xml"/><Relationship Id="rId33" Type="http://schemas.openxmlformats.org/officeDocument/2006/relationships/ctrlProp" Target="../ctrlProps/ctrlProp32.xml"/><Relationship Id="rId108" Type="http://schemas.openxmlformats.org/officeDocument/2006/relationships/ctrlProp" Target="../ctrlProps/ctrlProp107.xml"/><Relationship Id="rId129" Type="http://schemas.openxmlformats.org/officeDocument/2006/relationships/ctrlProp" Target="../ctrlProps/ctrlProp128.xml"/><Relationship Id="rId280" Type="http://schemas.openxmlformats.org/officeDocument/2006/relationships/ctrlProp" Target="../ctrlProps/ctrlProp279.xml"/><Relationship Id="rId315" Type="http://schemas.openxmlformats.org/officeDocument/2006/relationships/ctrlProp" Target="../ctrlProps/ctrlProp314.xml"/><Relationship Id="rId336" Type="http://schemas.openxmlformats.org/officeDocument/2006/relationships/ctrlProp" Target="../ctrlProps/ctrlProp335.xml"/><Relationship Id="rId357" Type="http://schemas.openxmlformats.org/officeDocument/2006/relationships/ctrlProp" Target="../ctrlProps/ctrlProp356.xml"/><Relationship Id="rId54" Type="http://schemas.openxmlformats.org/officeDocument/2006/relationships/ctrlProp" Target="../ctrlProps/ctrlProp53.xml"/><Relationship Id="rId75" Type="http://schemas.openxmlformats.org/officeDocument/2006/relationships/ctrlProp" Target="../ctrlProps/ctrlProp74.xml"/><Relationship Id="rId96" Type="http://schemas.openxmlformats.org/officeDocument/2006/relationships/ctrlProp" Target="../ctrlProps/ctrlProp95.xml"/><Relationship Id="rId140" Type="http://schemas.openxmlformats.org/officeDocument/2006/relationships/ctrlProp" Target="../ctrlProps/ctrlProp139.xml"/><Relationship Id="rId161" Type="http://schemas.openxmlformats.org/officeDocument/2006/relationships/ctrlProp" Target="../ctrlProps/ctrlProp160.xml"/><Relationship Id="rId182" Type="http://schemas.openxmlformats.org/officeDocument/2006/relationships/ctrlProp" Target="../ctrlProps/ctrlProp181.xml"/><Relationship Id="rId217" Type="http://schemas.openxmlformats.org/officeDocument/2006/relationships/ctrlProp" Target="../ctrlProps/ctrlProp216.xml"/><Relationship Id="rId378" Type="http://schemas.openxmlformats.org/officeDocument/2006/relationships/ctrlProp" Target="../ctrlProps/ctrlProp377.xml"/><Relationship Id="rId399" Type="http://schemas.openxmlformats.org/officeDocument/2006/relationships/ctrlProp" Target="../ctrlProps/ctrlProp398.xml"/><Relationship Id="rId403" Type="http://schemas.openxmlformats.org/officeDocument/2006/relationships/ctrlProp" Target="../ctrlProps/ctrlProp402.xml"/><Relationship Id="rId6" Type="http://schemas.openxmlformats.org/officeDocument/2006/relationships/ctrlProp" Target="../ctrlProps/ctrlProp5.xml"/><Relationship Id="rId238" Type="http://schemas.openxmlformats.org/officeDocument/2006/relationships/ctrlProp" Target="../ctrlProps/ctrlProp237.xml"/><Relationship Id="rId259" Type="http://schemas.openxmlformats.org/officeDocument/2006/relationships/ctrlProp" Target="../ctrlProps/ctrlProp258.xml"/><Relationship Id="rId424" Type="http://schemas.openxmlformats.org/officeDocument/2006/relationships/ctrlProp" Target="../ctrlProps/ctrlProp423.xml"/><Relationship Id="rId23" Type="http://schemas.openxmlformats.org/officeDocument/2006/relationships/ctrlProp" Target="../ctrlProps/ctrlProp22.xml"/><Relationship Id="rId119" Type="http://schemas.openxmlformats.org/officeDocument/2006/relationships/ctrlProp" Target="../ctrlProps/ctrlProp118.xml"/><Relationship Id="rId270" Type="http://schemas.openxmlformats.org/officeDocument/2006/relationships/ctrlProp" Target="../ctrlProps/ctrlProp269.xml"/><Relationship Id="rId291" Type="http://schemas.openxmlformats.org/officeDocument/2006/relationships/ctrlProp" Target="../ctrlProps/ctrlProp290.xml"/><Relationship Id="rId305" Type="http://schemas.openxmlformats.org/officeDocument/2006/relationships/ctrlProp" Target="../ctrlProps/ctrlProp304.xml"/><Relationship Id="rId326" Type="http://schemas.openxmlformats.org/officeDocument/2006/relationships/ctrlProp" Target="../ctrlProps/ctrlProp325.xml"/><Relationship Id="rId347" Type="http://schemas.openxmlformats.org/officeDocument/2006/relationships/ctrlProp" Target="../ctrlProps/ctrlProp346.xml"/><Relationship Id="rId44" Type="http://schemas.openxmlformats.org/officeDocument/2006/relationships/ctrlProp" Target="../ctrlProps/ctrlProp43.xml"/><Relationship Id="rId65" Type="http://schemas.openxmlformats.org/officeDocument/2006/relationships/ctrlProp" Target="../ctrlProps/ctrlProp64.xml"/><Relationship Id="rId86" Type="http://schemas.openxmlformats.org/officeDocument/2006/relationships/ctrlProp" Target="../ctrlProps/ctrlProp85.xml"/><Relationship Id="rId130" Type="http://schemas.openxmlformats.org/officeDocument/2006/relationships/ctrlProp" Target="../ctrlProps/ctrlProp129.xml"/><Relationship Id="rId151" Type="http://schemas.openxmlformats.org/officeDocument/2006/relationships/ctrlProp" Target="../ctrlProps/ctrlProp150.xml"/><Relationship Id="rId368" Type="http://schemas.openxmlformats.org/officeDocument/2006/relationships/ctrlProp" Target="../ctrlProps/ctrlProp367.xml"/><Relationship Id="rId389" Type="http://schemas.openxmlformats.org/officeDocument/2006/relationships/ctrlProp" Target="../ctrlProps/ctrlProp388.xml"/><Relationship Id="rId172" Type="http://schemas.openxmlformats.org/officeDocument/2006/relationships/ctrlProp" Target="../ctrlProps/ctrlProp171.xml"/><Relationship Id="rId193" Type="http://schemas.openxmlformats.org/officeDocument/2006/relationships/ctrlProp" Target="../ctrlProps/ctrlProp192.xml"/><Relationship Id="rId207" Type="http://schemas.openxmlformats.org/officeDocument/2006/relationships/ctrlProp" Target="../ctrlProps/ctrlProp206.xml"/><Relationship Id="rId228" Type="http://schemas.openxmlformats.org/officeDocument/2006/relationships/ctrlProp" Target="../ctrlProps/ctrlProp227.xml"/><Relationship Id="rId249" Type="http://schemas.openxmlformats.org/officeDocument/2006/relationships/ctrlProp" Target="../ctrlProps/ctrlProp248.xml"/><Relationship Id="rId414" Type="http://schemas.openxmlformats.org/officeDocument/2006/relationships/ctrlProp" Target="../ctrlProps/ctrlProp413.xml"/><Relationship Id="rId13" Type="http://schemas.openxmlformats.org/officeDocument/2006/relationships/ctrlProp" Target="../ctrlProps/ctrlProp12.xml"/><Relationship Id="rId109" Type="http://schemas.openxmlformats.org/officeDocument/2006/relationships/ctrlProp" Target="../ctrlProps/ctrlProp108.xml"/><Relationship Id="rId260" Type="http://schemas.openxmlformats.org/officeDocument/2006/relationships/ctrlProp" Target="../ctrlProps/ctrlProp259.xml"/><Relationship Id="rId281" Type="http://schemas.openxmlformats.org/officeDocument/2006/relationships/ctrlProp" Target="../ctrlProps/ctrlProp280.xml"/><Relationship Id="rId316" Type="http://schemas.openxmlformats.org/officeDocument/2006/relationships/ctrlProp" Target="../ctrlProps/ctrlProp315.xml"/><Relationship Id="rId337" Type="http://schemas.openxmlformats.org/officeDocument/2006/relationships/ctrlProp" Target="../ctrlProps/ctrlProp336.xml"/><Relationship Id="rId34" Type="http://schemas.openxmlformats.org/officeDocument/2006/relationships/ctrlProp" Target="../ctrlProps/ctrlProp33.xml"/><Relationship Id="rId55" Type="http://schemas.openxmlformats.org/officeDocument/2006/relationships/ctrlProp" Target="../ctrlProps/ctrlProp54.xml"/><Relationship Id="rId76" Type="http://schemas.openxmlformats.org/officeDocument/2006/relationships/ctrlProp" Target="../ctrlProps/ctrlProp75.xml"/><Relationship Id="rId97" Type="http://schemas.openxmlformats.org/officeDocument/2006/relationships/ctrlProp" Target="../ctrlProps/ctrlProp96.xml"/><Relationship Id="rId120" Type="http://schemas.openxmlformats.org/officeDocument/2006/relationships/ctrlProp" Target="../ctrlProps/ctrlProp119.xml"/><Relationship Id="rId141" Type="http://schemas.openxmlformats.org/officeDocument/2006/relationships/ctrlProp" Target="../ctrlProps/ctrlProp140.xml"/><Relationship Id="rId358" Type="http://schemas.openxmlformats.org/officeDocument/2006/relationships/ctrlProp" Target="../ctrlProps/ctrlProp357.xml"/><Relationship Id="rId379" Type="http://schemas.openxmlformats.org/officeDocument/2006/relationships/ctrlProp" Target="../ctrlProps/ctrlProp378.xml"/><Relationship Id="rId7" Type="http://schemas.openxmlformats.org/officeDocument/2006/relationships/ctrlProp" Target="../ctrlProps/ctrlProp6.xml"/><Relationship Id="rId162" Type="http://schemas.openxmlformats.org/officeDocument/2006/relationships/ctrlProp" Target="../ctrlProps/ctrlProp161.xml"/><Relationship Id="rId183" Type="http://schemas.openxmlformats.org/officeDocument/2006/relationships/ctrlProp" Target="../ctrlProps/ctrlProp182.xml"/><Relationship Id="rId218" Type="http://schemas.openxmlformats.org/officeDocument/2006/relationships/ctrlProp" Target="../ctrlProps/ctrlProp217.xml"/><Relationship Id="rId239" Type="http://schemas.openxmlformats.org/officeDocument/2006/relationships/ctrlProp" Target="../ctrlProps/ctrlProp238.xml"/><Relationship Id="rId390" Type="http://schemas.openxmlformats.org/officeDocument/2006/relationships/ctrlProp" Target="../ctrlProps/ctrlProp389.xml"/><Relationship Id="rId404" Type="http://schemas.openxmlformats.org/officeDocument/2006/relationships/ctrlProp" Target="../ctrlProps/ctrlProp403.xml"/><Relationship Id="rId425" Type="http://schemas.openxmlformats.org/officeDocument/2006/relationships/ctrlProp" Target="../ctrlProps/ctrlProp424.xml"/><Relationship Id="rId250" Type="http://schemas.openxmlformats.org/officeDocument/2006/relationships/ctrlProp" Target="../ctrlProps/ctrlProp249.xml"/><Relationship Id="rId271" Type="http://schemas.openxmlformats.org/officeDocument/2006/relationships/ctrlProp" Target="../ctrlProps/ctrlProp270.xml"/><Relationship Id="rId292" Type="http://schemas.openxmlformats.org/officeDocument/2006/relationships/ctrlProp" Target="../ctrlProps/ctrlProp291.xml"/><Relationship Id="rId306" Type="http://schemas.openxmlformats.org/officeDocument/2006/relationships/ctrlProp" Target="../ctrlProps/ctrlProp305.xml"/><Relationship Id="rId24" Type="http://schemas.openxmlformats.org/officeDocument/2006/relationships/ctrlProp" Target="../ctrlProps/ctrlProp23.xml"/><Relationship Id="rId45" Type="http://schemas.openxmlformats.org/officeDocument/2006/relationships/ctrlProp" Target="../ctrlProps/ctrlProp44.xml"/><Relationship Id="rId66" Type="http://schemas.openxmlformats.org/officeDocument/2006/relationships/ctrlProp" Target="../ctrlProps/ctrlProp65.xml"/><Relationship Id="rId87" Type="http://schemas.openxmlformats.org/officeDocument/2006/relationships/ctrlProp" Target="../ctrlProps/ctrlProp86.xml"/><Relationship Id="rId110" Type="http://schemas.openxmlformats.org/officeDocument/2006/relationships/ctrlProp" Target="../ctrlProps/ctrlProp109.xml"/><Relationship Id="rId131" Type="http://schemas.openxmlformats.org/officeDocument/2006/relationships/ctrlProp" Target="../ctrlProps/ctrlProp130.xml"/><Relationship Id="rId327" Type="http://schemas.openxmlformats.org/officeDocument/2006/relationships/ctrlProp" Target="../ctrlProps/ctrlProp326.xml"/><Relationship Id="rId348" Type="http://schemas.openxmlformats.org/officeDocument/2006/relationships/ctrlProp" Target="../ctrlProps/ctrlProp347.xml"/><Relationship Id="rId369" Type="http://schemas.openxmlformats.org/officeDocument/2006/relationships/ctrlProp" Target="../ctrlProps/ctrlProp368.xml"/><Relationship Id="rId152" Type="http://schemas.openxmlformats.org/officeDocument/2006/relationships/ctrlProp" Target="../ctrlProps/ctrlProp151.xml"/><Relationship Id="rId173" Type="http://schemas.openxmlformats.org/officeDocument/2006/relationships/ctrlProp" Target="../ctrlProps/ctrlProp172.xml"/><Relationship Id="rId194" Type="http://schemas.openxmlformats.org/officeDocument/2006/relationships/ctrlProp" Target="../ctrlProps/ctrlProp193.xml"/><Relationship Id="rId208" Type="http://schemas.openxmlformats.org/officeDocument/2006/relationships/ctrlProp" Target="../ctrlProps/ctrlProp207.xml"/><Relationship Id="rId229" Type="http://schemas.openxmlformats.org/officeDocument/2006/relationships/ctrlProp" Target="../ctrlProps/ctrlProp228.xml"/><Relationship Id="rId380" Type="http://schemas.openxmlformats.org/officeDocument/2006/relationships/ctrlProp" Target="../ctrlProps/ctrlProp379.xml"/><Relationship Id="rId415" Type="http://schemas.openxmlformats.org/officeDocument/2006/relationships/ctrlProp" Target="../ctrlProps/ctrlProp414.xml"/><Relationship Id="rId240" Type="http://schemas.openxmlformats.org/officeDocument/2006/relationships/ctrlProp" Target="../ctrlProps/ctrlProp239.xml"/><Relationship Id="rId261" Type="http://schemas.openxmlformats.org/officeDocument/2006/relationships/ctrlProp" Target="../ctrlProps/ctrlProp260.xml"/><Relationship Id="rId14" Type="http://schemas.openxmlformats.org/officeDocument/2006/relationships/ctrlProp" Target="../ctrlProps/ctrlProp13.xml"/><Relationship Id="rId35" Type="http://schemas.openxmlformats.org/officeDocument/2006/relationships/ctrlProp" Target="../ctrlProps/ctrlProp34.xml"/><Relationship Id="rId56" Type="http://schemas.openxmlformats.org/officeDocument/2006/relationships/ctrlProp" Target="../ctrlProps/ctrlProp55.xml"/><Relationship Id="rId77" Type="http://schemas.openxmlformats.org/officeDocument/2006/relationships/ctrlProp" Target="../ctrlProps/ctrlProp76.xml"/><Relationship Id="rId100" Type="http://schemas.openxmlformats.org/officeDocument/2006/relationships/ctrlProp" Target="../ctrlProps/ctrlProp99.xml"/><Relationship Id="rId282" Type="http://schemas.openxmlformats.org/officeDocument/2006/relationships/ctrlProp" Target="../ctrlProps/ctrlProp281.xml"/><Relationship Id="rId317" Type="http://schemas.openxmlformats.org/officeDocument/2006/relationships/ctrlProp" Target="../ctrlProps/ctrlProp316.xml"/><Relationship Id="rId338" Type="http://schemas.openxmlformats.org/officeDocument/2006/relationships/ctrlProp" Target="../ctrlProps/ctrlProp337.xml"/><Relationship Id="rId359" Type="http://schemas.openxmlformats.org/officeDocument/2006/relationships/ctrlProp" Target="../ctrlProps/ctrlProp358.xml"/><Relationship Id="rId8" Type="http://schemas.openxmlformats.org/officeDocument/2006/relationships/ctrlProp" Target="../ctrlProps/ctrlProp7.xml"/><Relationship Id="rId98" Type="http://schemas.openxmlformats.org/officeDocument/2006/relationships/ctrlProp" Target="../ctrlProps/ctrlProp97.xml"/><Relationship Id="rId121" Type="http://schemas.openxmlformats.org/officeDocument/2006/relationships/ctrlProp" Target="../ctrlProps/ctrlProp120.xml"/><Relationship Id="rId142" Type="http://schemas.openxmlformats.org/officeDocument/2006/relationships/ctrlProp" Target="../ctrlProps/ctrlProp141.xml"/><Relationship Id="rId163" Type="http://schemas.openxmlformats.org/officeDocument/2006/relationships/ctrlProp" Target="../ctrlProps/ctrlProp162.xml"/><Relationship Id="rId184" Type="http://schemas.openxmlformats.org/officeDocument/2006/relationships/ctrlProp" Target="../ctrlProps/ctrlProp183.xml"/><Relationship Id="rId219" Type="http://schemas.openxmlformats.org/officeDocument/2006/relationships/ctrlProp" Target="../ctrlProps/ctrlProp218.xml"/><Relationship Id="rId370" Type="http://schemas.openxmlformats.org/officeDocument/2006/relationships/ctrlProp" Target="../ctrlProps/ctrlProp369.xml"/><Relationship Id="rId391" Type="http://schemas.openxmlformats.org/officeDocument/2006/relationships/ctrlProp" Target="../ctrlProps/ctrlProp390.xml"/><Relationship Id="rId405" Type="http://schemas.openxmlformats.org/officeDocument/2006/relationships/ctrlProp" Target="../ctrlProps/ctrlProp404.xml"/><Relationship Id="rId230" Type="http://schemas.openxmlformats.org/officeDocument/2006/relationships/ctrlProp" Target="../ctrlProps/ctrlProp229.xml"/><Relationship Id="rId251" Type="http://schemas.openxmlformats.org/officeDocument/2006/relationships/ctrlProp" Target="../ctrlProps/ctrlProp250.xml"/><Relationship Id="rId25" Type="http://schemas.openxmlformats.org/officeDocument/2006/relationships/ctrlProp" Target="../ctrlProps/ctrlProp24.xml"/><Relationship Id="rId46" Type="http://schemas.openxmlformats.org/officeDocument/2006/relationships/ctrlProp" Target="../ctrlProps/ctrlProp45.xml"/><Relationship Id="rId67" Type="http://schemas.openxmlformats.org/officeDocument/2006/relationships/ctrlProp" Target="../ctrlProps/ctrlProp66.xml"/><Relationship Id="rId272" Type="http://schemas.openxmlformats.org/officeDocument/2006/relationships/ctrlProp" Target="../ctrlProps/ctrlProp271.xml"/><Relationship Id="rId293" Type="http://schemas.openxmlformats.org/officeDocument/2006/relationships/ctrlProp" Target="../ctrlProps/ctrlProp292.xml"/><Relationship Id="rId307" Type="http://schemas.openxmlformats.org/officeDocument/2006/relationships/ctrlProp" Target="../ctrlProps/ctrlProp306.xml"/><Relationship Id="rId328" Type="http://schemas.openxmlformats.org/officeDocument/2006/relationships/ctrlProp" Target="../ctrlProps/ctrlProp327.xml"/><Relationship Id="rId349" Type="http://schemas.openxmlformats.org/officeDocument/2006/relationships/ctrlProp" Target="../ctrlProps/ctrlProp348.xml"/><Relationship Id="rId88" Type="http://schemas.openxmlformats.org/officeDocument/2006/relationships/ctrlProp" Target="../ctrlProps/ctrlProp87.xml"/><Relationship Id="rId111" Type="http://schemas.openxmlformats.org/officeDocument/2006/relationships/ctrlProp" Target="../ctrlProps/ctrlProp110.xml"/><Relationship Id="rId132" Type="http://schemas.openxmlformats.org/officeDocument/2006/relationships/ctrlProp" Target="../ctrlProps/ctrlProp131.xml"/><Relationship Id="rId153" Type="http://schemas.openxmlformats.org/officeDocument/2006/relationships/ctrlProp" Target="../ctrlProps/ctrlProp152.xml"/><Relationship Id="rId174" Type="http://schemas.openxmlformats.org/officeDocument/2006/relationships/ctrlProp" Target="../ctrlProps/ctrlProp173.xml"/><Relationship Id="rId195" Type="http://schemas.openxmlformats.org/officeDocument/2006/relationships/ctrlProp" Target="../ctrlProps/ctrlProp194.xml"/><Relationship Id="rId209" Type="http://schemas.openxmlformats.org/officeDocument/2006/relationships/ctrlProp" Target="../ctrlProps/ctrlProp208.xml"/><Relationship Id="rId360" Type="http://schemas.openxmlformats.org/officeDocument/2006/relationships/ctrlProp" Target="../ctrlProps/ctrlProp359.xml"/><Relationship Id="rId381" Type="http://schemas.openxmlformats.org/officeDocument/2006/relationships/ctrlProp" Target="../ctrlProps/ctrlProp380.xml"/><Relationship Id="rId416" Type="http://schemas.openxmlformats.org/officeDocument/2006/relationships/ctrlProp" Target="../ctrlProps/ctrlProp415.xml"/><Relationship Id="rId220" Type="http://schemas.openxmlformats.org/officeDocument/2006/relationships/ctrlProp" Target="../ctrlProps/ctrlProp219.xml"/><Relationship Id="rId241" Type="http://schemas.openxmlformats.org/officeDocument/2006/relationships/ctrlProp" Target="../ctrlProps/ctrlProp240.xml"/><Relationship Id="rId15" Type="http://schemas.openxmlformats.org/officeDocument/2006/relationships/ctrlProp" Target="../ctrlProps/ctrlProp14.xml"/><Relationship Id="rId36" Type="http://schemas.openxmlformats.org/officeDocument/2006/relationships/ctrlProp" Target="../ctrlProps/ctrlProp35.xml"/><Relationship Id="rId57" Type="http://schemas.openxmlformats.org/officeDocument/2006/relationships/ctrlProp" Target="../ctrlProps/ctrlProp56.xml"/><Relationship Id="rId262" Type="http://schemas.openxmlformats.org/officeDocument/2006/relationships/ctrlProp" Target="../ctrlProps/ctrlProp261.xml"/><Relationship Id="rId283" Type="http://schemas.openxmlformats.org/officeDocument/2006/relationships/ctrlProp" Target="../ctrlProps/ctrlProp282.xml"/><Relationship Id="rId318" Type="http://schemas.openxmlformats.org/officeDocument/2006/relationships/ctrlProp" Target="../ctrlProps/ctrlProp317.xml"/><Relationship Id="rId339" Type="http://schemas.openxmlformats.org/officeDocument/2006/relationships/ctrlProp" Target="../ctrlProps/ctrlProp338.xml"/><Relationship Id="rId78" Type="http://schemas.openxmlformats.org/officeDocument/2006/relationships/ctrlProp" Target="../ctrlProps/ctrlProp77.xml"/><Relationship Id="rId99" Type="http://schemas.openxmlformats.org/officeDocument/2006/relationships/ctrlProp" Target="../ctrlProps/ctrlProp98.xml"/><Relationship Id="rId101" Type="http://schemas.openxmlformats.org/officeDocument/2006/relationships/ctrlProp" Target="../ctrlProps/ctrlProp100.xml"/><Relationship Id="rId122" Type="http://schemas.openxmlformats.org/officeDocument/2006/relationships/ctrlProp" Target="../ctrlProps/ctrlProp121.xml"/><Relationship Id="rId143" Type="http://schemas.openxmlformats.org/officeDocument/2006/relationships/ctrlProp" Target="../ctrlProps/ctrlProp142.xml"/><Relationship Id="rId164" Type="http://schemas.openxmlformats.org/officeDocument/2006/relationships/ctrlProp" Target="../ctrlProps/ctrlProp163.xml"/><Relationship Id="rId185" Type="http://schemas.openxmlformats.org/officeDocument/2006/relationships/ctrlProp" Target="../ctrlProps/ctrlProp184.xml"/><Relationship Id="rId350" Type="http://schemas.openxmlformats.org/officeDocument/2006/relationships/ctrlProp" Target="../ctrlProps/ctrlProp349.xml"/><Relationship Id="rId371" Type="http://schemas.openxmlformats.org/officeDocument/2006/relationships/ctrlProp" Target="../ctrlProps/ctrlProp370.xml"/><Relationship Id="rId406" Type="http://schemas.openxmlformats.org/officeDocument/2006/relationships/ctrlProp" Target="../ctrlProps/ctrlProp405.xml"/><Relationship Id="rId9" Type="http://schemas.openxmlformats.org/officeDocument/2006/relationships/ctrlProp" Target="../ctrlProps/ctrlProp8.xml"/><Relationship Id="rId210" Type="http://schemas.openxmlformats.org/officeDocument/2006/relationships/ctrlProp" Target="../ctrlProps/ctrlProp209.xml"/><Relationship Id="rId392" Type="http://schemas.openxmlformats.org/officeDocument/2006/relationships/ctrlProp" Target="../ctrlProps/ctrlProp391.xml"/><Relationship Id="rId26" Type="http://schemas.openxmlformats.org/officeDocument/2006/relationships/ctrlProp" Target="../ctrlProps/ctrlProp25.xml"/><Relationship Id="rId231" Type="http://schemas.openxmlformats.org/officeDocument/2006/relationships/ctrlProp" Target="../ctrlProps/ctrlProp230.xml"/><Relationship Id="rId252" Type="http://schemas.openxmlformats.org/officeDocument/2006/relationships/ctrlProp" Target="../ctrlProps/ctrlProp251.xml"/><Relationship Id="rId273" Type="http://schemas.openxmlformats.org/officeDocument/2006/relationships/ctrlProp" Target="../ctrlProps/ctrlProp272.xml"/><Relationship Id="rId294" Type="http://schemas.openxmlformats.org/officeDocument/2006/relationships/ctrlProp" Target="../ctrlProps/ctrlProp293.xml"/><Relationship Id="rId308" Type="http://schemas.openxmlformats.org/officeDocument/2006/relationships/ctrlProp" Target="../ctrlProps/ctrlProp307.xml"/><Relationship Id="rId329" Type="http://schemas.openxmlformats.org/officeDocument/2006/relationships/ctrlProp" Target="../ctrlProps/ctrlProp328.xml"/><Relationship Id="rId47" Type="http://schemas.openxmlformats.org/officeDocument/2006/relationships/ctrlProp" Target="../ctrlProps/ctrlProp46.xml"/><Relationship Id="rId68" Type="http://schemas.openxmlformats.org/officeDocument/2006/relationships/ctrlProp" Target="../ctrlProps/ctrlProp67.xml"/><Relationship Id="rId89" Type="http://schemas.openxmlformats.org/officeDocument/2006/relationships/ctrlProp" Target="../ctrlProps/ctrlProp88.xml"/><Relationship Id="rId112" Type="http://schemas.openxmlformats.org/officeDocument/2006/relationships/ctrlProp" Target="../ctrlProps/ctrlProp111.xml"/><Relationship Id="rId133" Type="http://schemas.openxmlformats.org/officeDocument/2006/relationships/ctrlProp" Target="../ctrlProps/ctrlProp132.xml"/><Relationship Id="rId154" Type="http://schemas.openxmlformats.org/officeDocument/2006/relationships/ctrlProp" Target="../ctrlProps/ctrlProp153.xml"/><Relationship Id="rId175" Type="http://schemas.openxmlformats.org/officeDocument/2006/relationships/ctrlProp" Target="../ctrlProps/ctrlProp174.xml"/><Relationship Id="rId340" Type="http://schemas.openxmlformats.org/officeDocument/2006/relationships/ctrlProp" Target="../ctrlProps/ctrlProp339.xml"/><Relationship Id="rId361" Type="http://schemas.openxmlformats.org/officeDocument/2006/relationships/ctrlProp" Target="../ctrlProps/ctrlProp360.xml"/><Relationship Id="rId196" Type="http://schemas.openxmlformats.org/officeDocument/2006/relationships/ctrlProp" Target="../ctrlProps/ctrlProp195.xml"/><Relationship Id="rId200" Type="http://schemas.openxmlformats.org/officeDocument/2006/relationships/ctrlProp" Target="../ctrlProps/ctrlProp199.xml"/><Relationship Id="rId382" Type="http://schemas.openxmlformats.org/officeDocument/2006/relationships/ctrlProp" Target="../ctrlProps/ctrlProp381.xml"/><Relationship Id="rId417" Type="http://schemas.openxmlformats.org/officeDocument/2006/relationships/ctrlProp" Target="../ctrlProps/ctrlProp416.xml"/><Relationship Id="rId16" Type="http://schemas.openxmlformats.org/officeDocument/2006/relationships/ctrlProp" Target="../ctrlProps/ctrlProp15.xml"/><Relationship Id="rId221" Type="http://schemas.openxmlformats.org/officeDocument/2006/relationships/ctrlProp" Target="../ctrlProps/ctrlProp220.xml"/><Relationship Id="rId242" Type="http://schemas.openxmlformats.org/officeDocument/2006/relationships/ctrlProp" Target="../ctrlProps/ctrlProp241.xml"/><Relationship Id="rId263" Type="http://schemas.openxmlformats.org/officeDocument/2006/relationships/ctrlProp" Target="../ctrlProps/ctrlProp262.xml"/><Relationship Id="rId284" Type="http://schemas.openxmlformats.org/officeDocument/2006/relationships/ctrlProp" Target="../ctrlProps/ctrlProp283.xml"/><Relationship Id="rId319" Type="http://schemas.openxmlformats.org/officeDocument/2006/relationships/ctrlProp" Target="../ctrlProps/ctrlProp318.xml"/><Relationship Id="rId37" Type="http://schemas.openxmlformats.org/officeDocument/2006/relationships/ctrlProp" Target="../ctrlProps/ctrlProp36.xml"/><Relationship Id="rId58" Type="http://schemas.openxmlformats.org/officeDocument/2006/relationships/ctrlProp" Target="../ctrlProps/ctrlProp57.xml"/><Relationship Id="rId79" Type="http://schemas.openxmlformats.org/officeDocument/2006/relationships/ctrlProp" Target="../ctrlProps/ctrlProp78.xml"/><Relationship Id="rId102" Type="http://schemas.openxmlformats.org/officeDocument/2006/relationships/ctrlProp" Target="../ctrlProps/ctrlProp101.xml"/><Relationship Id="rId123" Type="http://schemas.openxmlformats.org/officeDocument/2006/relationships/ctrlProp" Target="../ctrlProps/ctrlProp122.xml"/><Relationship Id="rId144" Type="http://schemas.openxmlformats.org/officeDocument/2006/relationships/ctrlProp" Target="../ctrlProps/ctrlProp143.xml"/><Relationship Id="rId330" Type="http://schemas.openxmlformats.org/officeDocument/2006/relationships/ctrlProp" Target="../ctrlProps/ctrlProp329.xml"/><Relationship Id="rId90" Type="http://schemas.openxmlformats.org/officeDocument/2006/relationships/ctrlProp" Target="../ctrlProps/ctrlProp89.xml"/><Relationship Id="rId165" Type="http://schemas.openxmlformats.org/officeDocument/2006/relationships/ctrlProp" Target="../ctrlProps/ctrlProp164.xml"/><Relationship Id="rId186" Type="http://schemas.openxmlformats.org/officeDocument/2006/relationships/ctrlProp" Target="../ctrlProps/ctrlProp185.xml"/><Relationship Id="rId351" Type="http://schemas.openxmlformats.org/officeDocument/2006/relationships/ctrlProp" Target="../ctrlProps/ctrlProp350.xml"/><Relationship Id="rId372" Type="http://schemas.openxmlformats.org/officeDocument/2006/relationships/ctrlProp" Target="../ctrlProps/ctrlProp371.xml"/><Relationship Id="rId393" Type="http://schemas.openxmlformats.org/officeDocument/2006/relationships/ctrlProp" Target="../ctrlProps/ctrlProp392.xml"/><Relationship Id="rId407" Type="http://schemas.openxmlformats.org/officeDocument/2006/relationships/ctrlProp" Target="../ctrlProps/ctrlProp406.xml"/><Relationship Id="rId211" Type="http://schemas.openxmlformats.org/officeDocument/2006/relationships/ctrlProp" Target="../ctrlProps/ctrlProp210.xml"/><Relationship Id="rId232" Type="http://schemas.openxmlformats.org/officeDocument/2006/relationships/ctrlProp" Target="../ctrlProps/ctrlProp231.xml"/><Relationship Id="rId253" Type="http://schemas.openxmlformats.org/officeDocument/2006/relationships/ctrlProp" Target="../ctrlProps/ctrlProp252.xml"/><Relationship Id="rId274" Type="http://schemas.openxmlformats.org/officeDocument/2006/relationships/ctrlProp" Target="../ctrlProps/ctrlProp273.xml"/><Relationship Id="rId295" Type="http://schemas.openxmlformats.org/officeDocument/2006/relationships/ctrlProp" Target="../ctrlProps/ctrlProp294.xml"/><Relationship Id="rId309" Type="http://schemas.openxmlformats.org/officeDocument/2006/relationships/ctrlProp" Target="../ctrlProps/ctrlProp308.xml"/><Relationship Id="rId27" Type="http://schemas.openxmlformats.org/officeDocument/2006/relationships/ctrlProp" Target="../ctrlProps/ctrlProp26.xml"/><Relationship Id="rId48" Type="http://schemas.openxmlformats.org/officeDocument/2006/relationships/ctrlProp" Target="../ctrlProps/ctrlProp47.xml"/><Relationship Id="rId69" Type="http://schemas.openxmlformats.org/officeDocument/2006/relationships/ctrlProp" Target="../ctrlProps/ctrlProp68.xml"/><Relationship Id="rId113" Type="http://schemas.openxmlformats.org/officeDocument/2006/relationships/ctrlProp" Target="../ctrlProps/ctrlProp112.xml"/><Relationship Id="rId134" Type="http://schemas.openxmlformats.org/officeDocument/2006/relationships/ctrlProp" Target="../ctrlProps/ctrlProp133.xml"/><Relationship Id="rId320" Type="http://schemas.openxmlformats.org/officeDocument/2006/relationships/ctrlProp" Target="../ctrlProps/ctrlProp319.xml"/><Relationship Id="rId80" Type="http://schemas.openxmlformats.org/officeDocument/2006/relationships/ctrlProp" Target="../ctrlProps/ctrlProp79.xml"/><Relationship Id="rId155" Type="http://schemas.openxmlformats.org/officeDocument/2006/relationships/ctrlProp" Target="../ctrlProps/ctrlProp154.xml"/><Relationship Id="rId176" Type="http://schemas.openxmlformats.org/officeDocument/2006/relationships/ctrlProp" Target="../ctrlProps/ctrlProp175.xml"/><Relationship Id="rId197" Type="http://schemas.openxmlformats.org/officeDocument/2006/relationships/ctrlProp" Target="../ctrlProps/ctrlProp196.xml"/><Relationship Id="rId341" Type="http://schemas.openxmlformats.org/officeDocument/2006/relationships/ctrlProp" Target="../ctrlProps/ctrlProp340.xml"/><Relationship Id="rId362" Type="http://schemas.openxmlformats.org/officeDocument/2006/relationships/ctrlProp" Target="../ctrlProps/ctrlProp361.xml"/><Relationship Id="rId383" Type="http://schemas.openxmlformats.org/officeDocument/2006/relationships/ctrlProp" Target="../ctrlProps/ctrlProp382.xml"/><Relationship Id="rId418" Type="http://schemas.openxmlformats.org/officeDocument/2006/relationships/ctrlProp" Target="../ctrlProps/ctrlProp417.xml"/><Relationship Id="rId201" Type="http://schemas.openxmlformats.org/officeDocument/2006/relationships/ctrlProp" Target="../ctrlProps/ctrlProp200.xml"/><Relationship Id="rId222" Type="http://schemas.openxmlformats.org/officeDocument/2006/relationships/ctrlProp" Target="../ctrlProps/ctrlProp221.xml"/><Relationship Id="rId243" Type="http://schemas.openxmlformats.org/officeDocument/2006/relationships/ctrlProp" Target="../ctrlProps/ctrlProp242.xml"/><Relationship Id="rId264" Type="http://schemas.openxmlformats.org/officeDocument/2006/relationships/ctrlProp" Target="../ctrlProps/ctrlProp263.xml"/><Relationship Id="rId285" Type="http://schemas.openxmlformats.org/officeDocument/2006/relationships/ctrlProp" Target="../ctrlProps/ctrlProp284.xml"/><Relationship Id="rId17" Type="http://schemas.openxmlformats.org/officeDocument/2006/relationships/ctrlProp" Target="../ctrlProps/ctrlProp16.xml"/><Relationship Id="rId38" Type="http://schemas.openxmlformats.org/officeDocument/2006/relationships/ctrlProp" Target="../ctrlProps/ctrlProp37.xml"/><Relationship Id="rId59" Type="http://schemas.openxmlformats.org/officeDocument/2006/relationships/ctrlProp" Target="../ctrlProps/ctrlProp58.xml"/><Relationship Id="rId103" Type="http://schemas.openxmlformats.org/officeDocument/2006/relationships/ctrlProp" Target="../ctrlProps/ctrlProp102.xml"/><Relationship Id="rId124" Type="http://schemas.openxmlformats.org/officeDocument/2006/relationships/ctrlProp" Target="../ctrlProps/ctrlProp123.xml"/><Relationship Id="rId310" Type="http://schemas.openxmlformats.org/officeDocument/2006/relationships/ctrlProp" Target="../ctrlProps/ctrlProp309.xml"/><Relationship Id="rId70" Type="http://schemas.openxmlformats.org/officeDocument/2006/relationships/ctrlProp" Target="../ctrlProps/ctrlProp69.xml"/><Relationship Id="rId91" Type="http://schemas.openxmlformats.org/officeDocument/2006/relationships/ctrlProp" Target="../ctrlProps/ctrlProp90.xml"/><Relationship Id="rId145" Type="http://schemas.openxmlformats.org/officeDocument/2006/relationships/ctrlProp" Target="../ctrlProps/ctrlProp144.xml"/><Relationship Id="rId166" Type="http://schemas.openxmlformats.org/officeDocument/2006/relationships/ctrlProp" Target="../ctrlProps/ctrlProp165.xml"/><Relationship Id="rId187" Type="http://schemas.openxmlformats.org/officeDocument/2006/relationships/ctrlProp" Target="../ctrlProps/ctrlProp186.xml"/><Relationship Id="rId331" Type="http://schemas.openxmlformats.org/officeDocument/2006/relationships/ctrlProp" Target="../ctrlProps/ctrlProp330.xml"/><Relationship Id="rId352" Type="http://schemas.openxmlformats.org/officeDocument/2006/relationships/ctrlProp" Target="../ctrlProps/ctrlProp351.xml"/><Relationship Id="rId373" Type="http://schemas.openxmlformats.org/officeDocument/2006/relationships/ctrlProp" Target="../ctrlProps/ctrlProp372.xml"/><Relationship Id="rId394" Type="http://schemas.openxmlformats.org/officeDocument/2006/relationships/ctrlProp" Target="../ctrlProps/ctrlProp393.xml"/><Relationship Id="rId408" Type="http://schemas.openxmlformats.org/officeDocument/2006/relationships/ctrlProp" Target="../ctrlProps/ctrlProp407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211.xml"/><Relationship Id="rId233" Type="http://schemas.openxmlformats.org/officeDocument/2006/relationships/ctrlProp" Target="../ctrlProps/ctrlProp232.xml"/><Relationship Id="rId254" Type="http://schemas.openxmlformats.org/officeDocument/2006/relationships/ctrlProp" Target="../ctrlProps/ctrlProp253.xml"/><Relationship Id="rId28" Type="http://schemas.openxmlformats.org/officeDocument/2006/relationships/ctrlProp" Target="../ctrlProps/ctrlProp27.xml"/><Relationship Id="rId49" Type="http://schemas.openxmlformats.org/officeDocument/2006/relationships/ctrlProp" Target="../ctrlProps/ctrlProp48.xml"/><Relationship Id="rId114" Type="http://schemas.openxmlformats.org/officeDocument/2006/relationships/ctrlProp" Target="../ctrlProps/ctrlProp113.xml"/><Relationship Id="rId275" Type="http://schemas.openxmlformats.org/officeDocument/2006/relationships/ctrlProp" Target="../ctrlProps/ctrlProp274.xml"/><Relationship Id="rId296" Type="http://schemas.openxmlformats.org/officeDocument/2006/relationships/ctrlProp" Target="../ctrlProps/ctrlProp295.xml"/><Relationship Id="rId300" Type="http://schemas.openxmlformats.org/officeDocument/2006/relationships/ctrlProp" Target="../ctrlProps/ctrlProp299.xml"/><Relationship Id="rId60" Type="http://schemas.openxmlformats.org/officeDocument/2006/relationships/ctrlProp" Target="../ctrlProps/ctrlProp59.xml"/><Relationship Id="rId81" Type="http://schemas.openxmlformats.org/officeDocument/2006/relationships/ctrlProp" Target="../ctrlProps/ctrlProp80.xml"/><Relationship Id="rId135" Type="http://schemas.openxmlformats.org/officeDocument/2006/relationships/ctrlProp" Target="../ctrlProps/ctrlProp134.xml"/><Relationship Id="rId156" Type="http://schemas.openxmlformats.org/officeDocument/2006/relationships/ctrlProp" Target="../ctrlProps/ctrlProp155.xml"/><Relationship Id="rId177" Type="http://schemas.openxmlformats.org/officeDocument/2006/relationships/ctrlProp" Target="../ctrlProps/ctrlProp176.xml"/><Relationship Id="rId198" Type="http://schemas.openxmlformats.org/officeDocument/2006/relationships/ctrlProp" Target="../ctrlProps/ctrlProp197.xml"/><Relationship Id="rId321" Type="http://schemas.openxmlformats.org/officeDocument/2006/relationships/ctrlProp" Target="../ctrlProps/ctrlProp320.xml"/><Relationship Id="rId342" Type="http://schemas.openxmlformats.org/officeDocument/2006/relationships/ctrlProp" Target="../ctrlProps/ctrlProp341.xml"/><Relationship Id="rId363" Type="http://schemas.openxmlformats.org/officeDocument/2006/relationships/ctrlProp" Target="../ctrlProps/ctrlProp362.xml"/><Relationship Id="rId384" Type="http://schemas.openxmlformats.org/officeDocument/2006/relationships/ctrlProp" Target="../ctrlProps/ctrlProp383.xml"/><Relationship Id="rId419" Type="http://schemas.openxmlformats.org/officeDocument/2006/relationships/ctrlProp" Target="../ctrlProps/ctrlProp418.xml"/><Relationship Id="rId202" Type="http://schemas.openxmlformats.org/officeDocument/2006/relationships/ctrlProp" Target="../ctrlProps/ctrlProp201.xml"/><Relationship Id="rId223" Type="http://schemas.openxmlformats.org/officeDocument/2006/relationships/ctrlProp" Target="../ctrlProps/ctrlProp222.xml"/><Relationship Id="rId244" Type="http://schemas.openxmlformats.org/officeDocument/2006/relationships/ctrlProp" Target="../ctrlProps/ctrlProp243.xml"/><Relationship Id="rId18" Type="http://schemas.openxmlformats.org/officeDocument/2006/relationships/ctrlProp" Target="../ctrlProps/ctrlProp17.xml"/><Relationship Id="rId39" Type="http://schemas.openxmlformats.org/officeDocument/2006/relationships/ctrlProp" Target="../ctrlProps/ctrlProp38.xml"/><Relationship Id="rId265" Type="http://schemas.openxmlformats.org/officeDocument/2006/relationships/ctrlProp" Target="../ctrlProps/ctrlProp264.xml"/><Relationship Id="rId286" Type="http://schemas.openxmlformats.org/officeDocument/2006/relationships/ctrlProp" Target="../ctrlProps/ctrlProp285.xml"/><Relationship Id="rId50" Type="http://schemas.openxmlformats.org/officeDocument/2006/relationships/ctrlProp" Target="../ctrlProps/ctrlProp49.xml"/><Relationship Id="rId104" Type="http://schemas.openxmlformats.org/officeDocument/2006/relationships/ctrlProp" Target="../ctrlProps/ctrlProp103.xml"/><Relationship Id="rId125" Type="http://schemas.openxmlformats.org/officeDocument/2006/relationships/ctrlProp" Target="../ctrlProps/ctrlProp124.xml"/><Relationship Id="rId146" Type="http://schemas.openxmlformats.org/officeDocument/2006/relationships/ctrlProp" Target="../ctrlProps/ctrlProp145.xml"/><Relationship Id="rId167" Type="http://schemas.openxmlformats.org/officeDocument/2006/relationships/ctrlProp" Target="../ctrlProps/ctrlProp166.xml"/><Relationship Id="rId188" Type="http://schemas.openxmlformats.org/officeDocument/2006/relationships/ctrlProp" Target="../ctrlProps/ctrlProp187.xml"/><Relationship Id="rId311" Type="http://schemas.openxmlformats.org/officeDocument/2006/relationships/ctrlProp" Target="../ctrlProps/ctrlProp310.xml"/><Relationship Id="rId332" Type="http://schemas.openxmlformats.org/officeDocument/2006/relationships/ctrlProp" Target="../ctrlProps/ctrlProp331.xml"/><Relationship Id="rId353" Type="http://schemas.openxmlformats.org/officeDocument/2006/relationships/ctrlProp" Target="../ctrlProps/ctrlProp352.xml"/><Relationship Id="rId374" Type="http://schemas.openxmlformats.org/officeDocument/2006/relationships/ctrlProp" Target="../ctrlProps/ctrlProp373.xml"/><Relationship Id="rId395" Type="http://schemas.openxmlformats.org/officeDocument/2006/relationships/ctrlProp" Target="../ctrlProps/ctrlProp394.xml"/><Relationship Id="rId409" Type="http://schemas.openxmlformats.org/officeDocument/2006/relationships/ctrlProp" Target="../ctrlProps/ctrlProp408.xml"/><Relationship Id="rId71" Type="http://schemas.openxmlformats.org/officeDocument/2006/relationships/ctrlProp" Target="../ctrlProps/ctrlProp70.xml"/><Relationship Id="rId92" Type="http://schemas.openxmlformats.org/officeDocument/2006/relationships/ctrlProp" Target="../ctrlProps/ctrlProp91.xml"/><Relationship Id="rId213" Type="http://schemas.openxmlformats.org/officeDocument/2006/relationships/ctrlProp" Target="../ctrlProps/ctrlProp212.xml"/><Relationship Id="rId234" Type="http://schemas.openxmlformats.org/officeDocument/2006/relationships/ctrlProp" Target="../ctrlProps/ctrlProp233.xml"/><Relationship Id="rId420" Type="http://schemas.openxmlformats.org/officeDocument/2006/relationships/ctrlProp" Target="../ctrlProps/ctrlProp41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8.xml"/><Relationship Id="rId255" Type="http://schemas.openxmlformats.org/officeDocument/2006/relationships/ctrlProp" Target="../ctrlProps/ctrlProp254.xml"/><Relationship Id="rId276" Type="http://schemas.openxmlformats.org/officeDocument/2006/relationships/ctrlProp" Target="../ctrlProps/ctrlProp275.xml"/><Relationship Id="rId297" Type="http://schemas.openxmlformats.org/officeDocument/2006/relationships/ctrlProp" Target="../ctrlProps/ctrlProp296.xml"/><Relationship Id="rId40" Type="http://schemas.openxmlformats.org/officeDocument/2006/relationships/ctrlProp" Target="../ctrlProps/ctrlProp39.xml"/><Relationship Id="rId115" Type="http://schemas.openxmlformats.org/officeDocument/2006/relationships/ctrlProp" Target="../ctrlProps/ctrlProp114.xml"/><Relationship Id="rId136" Type="http://schemas.openxmlformats.org/officeDocument/2006/relationships/ctrlProp" Target="../ctrlProps/ctrlProp135.xml"/><Relationship Id="rId157" Type="http://schemas.openxmlformats.org/officeDocument/2006/relationships/ctrlProp" Target="../ctrlProps/ctrlProp156.xml"/><Relationship Id="rId178" Type="http://schemas.openxmlformats.org/officeDocument/2006/relationships/ctrlProp" Target="../ctrlProps/ctrlProp177.xml"/><Relationship Id="rId301" Type="http://schemas.openxmlformats.org/officeDocument/2006/relationships/ctrlProp" Target="../ctrlProps/ctrlProp300.xml"/><Relationship Id="rId322" Type="http://schemas.openxmlformats.org/officeDocument/2006/relationships/ctrlProp" Target="../ctrlProps/ctrlProp321.xml"/><Relationship Id="rId343" Type="http://schemas.openxmlformats.org/officeDocument/2006/relationships/ctrlProp" Target="../ctrlProps/ctrlProp342.xml"/><Relationship Id="rId364" Type="http://schemas.openxmlformats.org/officeDocument/2006/relationships/ctrlProp" Target="../ctrlProps/ctrlProp363.xml"/><Relationship Id="rId61" Type="http://schemas.openxmlformats.org/officeDocument/2006/relationships/ctrlProp" Target="../ctrlProps/ctrlProp60.xml"/><Relationship Id="rId82" Type="http://schemas.openxmlformats.org/officeDocument/2006/relationships/ctrlProp" Target="../ctrlProps/ctrlProp81.xml"/><Relationship Id="rId199" Type="http://schemas.openxmlformats.org/officeDocument/2006/relationships/ctrlProp" Target="../ctrlProps/ctrlProp198.xml"/><Relationship Id="rId203" Type="http://schemas.openxmlformats.org/officeDocument/2006/relationships/ctrlProp" Target="../ctrlProps/ctrlProp202.xml"/><Relationship Id="rId385" Type="http://schemas.openxmlformats.org/officeDocument/2006/relationships/ctrlProp" Target="../ctrlProps/ctrlProp384.xml"/><Relationship Id="rId19" Type="http://schemas.openxmlformats.org/officeDocument/2006/relationships/ctrlProp" Target="../ctrlProps/ctrlProp18.xml"/><Relationship Id="rId224" Type="http://schemas.openxmlformats.org/officeDocument/2006/relationships/ctrlProp" Target="../ctrlProps/ctrlProp223.xml"/><Relationship Id="rId245" Type="http://schemas.openxmlformats.org/officeDocument/2006/relationships/ctrlProp" Target="../ctrlProps/ctrlProp244.xml"/><Relationship Id="rId266" Type="http://schemas.openxmlformats.org/officeDocument/2006/relationships/ctrlProp" Target="../ctrlProps/ctrlProp265.xml"/><Relationship Id="rId287" Type="http://schemas.openxmlformats.org/officeDocument/2006/relationships/ctrlProp" Target="../ctrlProps/ctrlProp286.xml"/><Relationship Id="rId410" Type="http://schemas.openxmlformats.org/officeDocument/2006/relationships/ctrlProp" Target="../ctrlProps/ctrlProp409.xml"/><Relationship Id="rId30" Type="http://schemas.openxmlformats.org/officeDocument/2006/relationships/ctrlProp" Target="../ctrlProps/ctrlProp29.xml"/><Relationship Id="rId105" Type="http://schemas.openxmlformats.org/officeDocument/2006/relationships/ctrlProp" Target="../ctrlProps/ctrlProp104.xml"/><Relationship Id="rId126" Type="http://schemas.openxmlformats.org/officeDocument/2006/relationships/ctrlProp" Target="../ctrlProps/ctrlProp125.xml"/><Relationship Id="rId147" Type="http://schemas.openxmlformats.org/officeDocument/2006/relationships/ctrlProp" Target="../ctrlProps/ctrlProp146.xml"/><Relationship Id="rId168" Type="http://schemas.openxmlformats.org/officeDocument/2006/relationships/ctrlProp" Target="../ctrlProps/ctrlProp167.xml"/><Relationship Id="rId312" Type="http://schemas.openxmlformats.org/officeDocument/2006/relationships/ctrlProp" Target="../ctrlProps/ctrlProp311.xml"/><Relationship Id="rId333" Type="http://schemas.openxmlformats.org/officeDocument/2006/relationships/ctrlProp" Target="../ctrlProps/ctrlProp332.xml"/><Relationship Id="rId354" Type="http://schemas.openxmlformats.org/officeDocument/2006/relationships/ctrlProp" Target="../ctrlProps/ctrlProp353.xml"/><Relationship Id="rId51" Type="http://schemas.openxmlformats.org/officeDocument/2006/relationships/ctrlProp" Target="../ctrlProps/ctrlProp50.xml"/><Relationship Id="rId72" Type="http://schemas.openxmlformats.org/officeDocument/2006/relationships/ctrlProp" Target="../ctrlProps/ctrlProp71.xml"/><Relationship Id="rId93" Type="http://schemas.openxmlformats.org/officeDocument/2006/relationships/ctrlProp" Target="../ctrlProps/ctrlProp92.xml"/><Relationship Id="rId189" Type="http://schemas.openxmlformats.org/officeDocument/2006/relationships/ctrlProp" Target="../ctrlProps/ctrlProp188.xml"/><Relationship Id="rId375" Type="http://schemas.openxmlformats.org/officeDocument/2006/relationships/ctrlProp" Target="../ctrlProps/ctrlProp374.xml"/><Relationship Id="rId396" Type="http://schemas.openxmlformats.org/officeDocument/2006/relationships/ctrlProp" Target="../ctrlProps/ctrlProp395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213.xml"/><Relationship Id="rId235" Type="http://schemas.openxmlformats.org/officeDocument/2006/relationships/ctrlProp" Target="../ctrlProps/ctrlProp234.xml"/><Relationship Id="rId256" Type="http://schemas.openxmlformats.org/officeDocument/2006/relationships/ctrlProp" Target="../ctrlProps/ctrlProp255.xml"/><Relationship Id="rId277" Type="http://schemas.openxmlformats.org/officeDocument/2006/relationships/ctrlProp" Target="../ctrlProps/ctrlProp276.xml"/><Relationship Id="rId298" Type="http://schemas.openxmlformats.org/officeDocument/2006/relationships/ctrlProp" Target="../ctrlProps/ctrlProp297.xml"/><Relationship Id="rId400" Type="http://schemas.openxmlformats.org/officeDocument/2006/relationships/ctrlProp" Target="../ctrlProps/ctrlProp399.xml"/><Relationship Id="rId421" Type="http://schemas.openxmlformats.org/officeDocument/2006/relationships/ctrlProp" Target="../ctrlProps/ctrlProp420.xml"/><Relationship Id="rId116" Type="http://schemas.openxmlformats.org/officeDocument/2006/relationships/ctrlProp" Target="../ctrlProps/ctrlProp115.xml"/><Relationship Id="rId137" Type="http://schemas.openxmlformats.org/officeDocument/2006/relationships/ctrlProp" Target="../ctrlProps/ctrlProp136.xml"/><Relationship Id="rId158" Type="http://schemas.openxmlformats.org/officeDocument/2006/relationships/ctrlProp" Target="../ctrlProps/ctrlProp157.xml"/><Relationship Id="rId302" Type="http://schemas.openxmlformats.org/officeDocument/2006/relationships/ctrlProp" Target="../ctrlProps/ctrlProp301.xml"/><Relationship Id="rId323" Type="http://schemas.openxmlformats.org/officeDocument/2006/relationships/ctrlProp" Target="../ctrlProps/ctrlProp322.xml"/><Relationship Id="rId344" Type="http://schemas.openxmlformats.org/officeDocument/2006/relationships/ctrlProp" Target="../ctrlProps/ctrlProp343.xml"/><Relationship Id="rId20" Type="http://schemas.openxmlformats.org/officeDocument/2006/relationships/ctrlProp" Target="../ctrlProps/ctrlProp19.xml"/><Relationship Id="rId41" Type="http://schemas.openxmlformats.org/officeDocument/2006/relationships/ctrlProp" Target="../ctrlProps/ctrlProp40.xml"/><Relationship Id="rId62" Type="http://schemas.openxmlformats.org/officeDocument/2006/relationships/ctrlProp" Target="../ctrlProps/ctrlProp61.xml"/><Relationship Id="rId83" Type="http://schemas.openxmlformats.org/officeDocument/2006/relationships/ctrlProp" Target="../ctrlProps/ctrlProp82.xml"/><Relationship Id="rId179" Type="http://schemas.openxmlformats.org/officeDocument/2006/relationships/ctrlProp" Target="../ctrlProps/ctrlProp178.xml"/><Relationship Id="rId365" Type="http://schemas.openxmlformats.org/officeDocument/2006/relationships/ctrlProp" Target="../ctrlProps/ctrlProp364.xml"/><Relationship Id="rId386" Type="http://schemas.openxmlformats.org/officeDocument/2006/relationships/ctrlProp" Target="../ctrlProps/ctrlProp385.xml"/><Relationship Id="rId190" Type="http://schemas.openxmlformats.org/officeDocument/2006/relationships/ctrlProp" Target="../ctrlProps/ctrlProp189.xml"/><Relationship Id="rId204" Type="http://schemas.openxmlformats.org/officeDocument/2006/relationships/ctrlProp" Target="../ctrlProps/ctrlProp203.xml"/><Relationship Id="rId225" Type="http://schemas.openxmlformats.org/officeDocument/2006/relationships/ctrlProp" Target="../ctrlProps/ctrlProp224.xml"/><Relationship Id="rId246" Type="http://schemas.openxmlformats.org/officeDocument/2006/relationships/ctrlProp" Target="../ctrlProps/ctrlProp245.xml"/><Relationship Id="rId267" Type="http://schemas.openxmlformats.org/officeDocument/2006/relationships/ctrlProp" Target="../ctrlProps/ctrlProp266.xml"/><Relationship Id="rId288" Type="http://schemas.openxmlformats.org/officeDocument/2006/relationships/ctrlProp" Target="../ctrlProps/ctrlProp287.xml"/><Relationship Id="rId411" Type="http://schemas.openxmlformats.org/officeDocument/2006/relationships/ctrlProp" Target="../ctrlProps/ctrlProp410.xml"/><Relationship Id="rId106" Type="http://schemas.openxmlformats.org/officeDocument/2006/relationships/ctrlProp" Target="../ctrlProps/ctrlProp105.xml"/><Relationship Id="rId127" Type="http://schemas.openxmlformats.org/officeDocument/2006/relationships/ctrlProp" Target="../ctrlProps/ctrlProp126.xml"/><Relationship Id="rId313" Type="http://schemas.openxmlformats.org/officeDocument/2006/relationships/ctrlProp" Target="../ctrlProps/ctrlProp312.xml"/><Relationship Id="rId10" Type="http://schemas.openxmlformats.org/officeDocument/2006/relationships/ctrlProp" Target="../ctrlProps/ctrlProp9.xml"/><Relationship Id="rId31" Type="http://schemas.openxmlformats.org/officeDocument/2006/relationships/ctrlProp" Target="../ctrlProps/ctrlProp30.xml"/><Relationship Id="rId52" Type="http://schemas.openxmlformats.org/officeDocument/2006/relationships/ctrlProp" Target="../ctrlProps/ctrlProp51.xml"/><Relationship Id="rId73" Type="http://schemas.openxmlformats.org/officeDocument/2006/relationships/ctrlProp" Target="../ctrlProps/ctrlProp72.xml"/><Relationship Id="rId94" Type="http://schemas.openxmlformats.org/officeDocument/2006/relationships/ctrlProp" Target="../ctrlProps/ctrlProp93.xml"/><Relationship Id="rId148" Type="http://schemas.openxmlformats.org/officeDocument/2006/relationships/ctrlProp" Target="../ctrlProps/ctrlProp147.xml"/><Relationship Id="rId169" Type="http://schemas.openxmlformats.org/officeDocument/2006/relationships/ctrlProp" Target="../ctrlProps/ctrlProp168.xml"/><Relationship Id="rId334" Type="http://schemas.openxmlformats.org/officeDocument/2006/relationships/ctrlProp" Target="../ctrlProps/ctrlProp333.xml"/><Relationship Id="rId355" Type="http://schemas.openxmlformats.org/officeDocument/2006/relationships/ctrlProp" Target="../ctrlProps/ctrlProp354.xml"/><Relationship Id="rId376" Type="http://schemas.openxmlformats.org/officeDocument/2006/relationships/ctrlProp" Target="../ctrlProps/ctrlProp375.xml"/><Relationship Id="rId397" Type="http://schemas.openxmlformats.org/officeDocument/2006/relationships/ctrlProp" Target="../ctrlProps/ctrlProp396.xml"/><Relationship Id="rId4" Type="http://schemas.openxmlformats.org/officeDocument/2006/relationships/ctrlProp" Target="../ctrlProps/ctrlProp3.xml"/><Relationship Id="rId180" Type="http://schemas.openxmlformats.org/officeDocument/2006/relationships/ctrlProp" Target="../ctrlProps/ctrlProp179.xml"/><Relationship Id="rId215" Type="http://schemas.openxmlformats.org/officeDocument/2006/relationships/ctrlProp" Target="../ctrlProps/ctrlProp214.xml"/><Relationship Id="rId236" Type="http://schemas.openxmlformats.org/officeDocument/2006/relationships/ctrlProp" Target="../ctrlProps/ctrlProp235.xml"/><Relationship Id="rId257" Type="http://schemas.openxmlformats.org/officeDocument/2006/relationships/ctrlProp" Target="../ctrlProps/ctrlProp256.xml"/><Relationship Id="rId278" Type="http://schemas.openxmlformats.org/officeDocument/2006/relationships/ctrlProp" Target="../ctrlProps/ctrlProp277.xml"/><Relationship Id="rId401" Type="http://schemas.openxmlformats.org/officeDocument/2006/relationships/ctrlProp" Target="../ctrlProps/ctrlProp400.xml"/><Relationship Id="rId422" Type="http://schemas.openxmlformats.org/officeDocument/2006/relationships/ctrlProp" Target="../ctrlProps/ctrlProp421.xml"/><Relationship Id="rId303" Type="http://schemas.openxmlformats.org/officeDocument/2006/relationships/ctrlProp" Target="../ctrlProps/ctrlProp302.xml"/><Relationship Id="rId42" Type="http://schemas.openxmlformats.org/officeDocument/2006/relationships/ctrlProp" Target="../ctrlProps/ctrlProp41.xml"/><Relationship Id="rId84" Type="http://schemas.openxmlformats.org/officeDocument/2006/relationships/ctrlProp" Target="../ctrlProps/ctrlProp83.xml"/><Relationship Id="rId138" Type="http://schemas.openxmlformats.org/officeDocument/2006/relationships/ctrlProp" Target="../ctrlProps/ctrlProp137.xml"/><Relationship Id="rId345" Type="http://schemas.openxmlformats.org/officeDocument/2006/relationships/ctrlProp" Target="../ctrlProps/ctrlProp344.xml"/><Relationship Id="rId387" Type="http://schemas.openxmlformats.org/officeDocument/2006/relationships/ctrlProp" Target="../ctrlProps/ctrlProp386.xml"/><Relationship Id="rId191" Type="http://schemas.openxmlformats.org/officeDocument/2006/relationships/ctrlProp" Target="../ctrlProps/ctrlProp190.xml"/><Relationship Id="rId205" Type="http://schemas.openxmlformats.org/officeDocument/2006/relationships/ctrlProp" Target="../ctrlProps/ctrlProp204.xml"/><Relationship Id="rId247" Type="http://schemas.openxmlformats.org/officeDocument/2006/relationships/ctrlProp" Target="../ctrlProps/ctrlProp246.xml"/><Relationship Id="rId412" Type="http://schemas.openxmlformats.org/officeDocument/2006/relationships/ctrlProp" Target="../ctrlProps/ctrlProp411.xml"/><Relationship Id="rId107" Type="http://schemas.openxmlformats.org/officeDocument/2006/relationships/ctrlProp" Target="../ctrlProps/ctrlProp106.xml"/><Relationship Id="rId289" Type="http://schemas.openxmlformats.org/officeDocument/2006/relationships/ctrlProp" Target="../ctrlProps/ctrlProp288.xml"/><Relationship Id="rId11" Type="http://schemas.openxmlformats.org/officeDocument/2006/relationships/ctrlProp" Target="../ctrlProps/ctrlProp10.xml"/><Relationship Id="rId53" Type="http://schemas.openxmlformats.org/officeDocument/2006/relationships/ctrlProp" Target="../ctrlProps/ctrlProp52.xml"/><Relationship Id="rId149" Type="http://schemas.openxmlformats.org/officeDocument/2006/relationships/ctrlProp" Target="../ctrlProps/ctrlProp148.xml"/><Relationship Id="rId314" Type="http://schemas.openxmlformats.org/officeDocument/2006/relationships/ctrlProp" Target="../ctrlProps/ctrlProp313.xml"/><Relationship Id="rId356" Type="http://schemas.openxmlformats.org/officeDocument/2006/relationships/ctrlProp" Target="../ctrlProps/ctrlProp355.xml"/><Relationship Id="rId398" Type="http://schemas.openxmlformats.org/officeDocument/2006/relationships/ctrlProp" Target="../ctrlProps/ctrlProp397.xml"/><Relationship Id="rId95" Type="http://schemas.openxmlformats.org/officeDocument/2006/relationships/ctrlProp" Target="../ctrlProps/ctrlProp94.xml"/><Relationship Id="rId160" Type="http://schemas.openxmlformats.org/officeDocument/2006/relationships/ctrlProp" Target="../ctrlProps/ctrlProp159.xml"/><Relationship Id="rId216" Type="http://schemas.openxmlformats.org/officeDocument/2006/relationships/ctrlProp" Target="../ctrlProps/ctrlProp215.xml"/><Relationship Id="rId423" Type="http://schemas.openxmlformats.org/officeDocument/2006/relationships/ctrlProp" Target="../ctrlProps/ctrlProp422.xml"/><Relationship Id="rId258" Type="http://schemas.openxmlformats.org/officeDocument/2006/relationships/ctrlProp" Target="../ctrlProps/ctrlProp25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1038"/>
  <sheetViews>
    <sheetView zoomScale="70" workbookViewId="0">
      <selection activeCell="N15" sqref="N15"/>
    </sheetView>
  </sheetViews>
  <sheetFormatPr defaultRowHeight="12.75"/>
  <cols>
    <col min="1" max="1" width="9.140625" style="35"/>
    <col min="2" max="2" width="9.7109375" style="1" customWidth="1"/>
    <col min="3" max="3" width="23" style="30" customWidth="1"/>
    <col min="4" max="4" width="21.28515625" style="30" customWidth="1"/>
    <col min="5" max="5" width="7.85546875" style="1" customWidth="1"/>
    <col min="6" max="6" width="32.5703125" style="30" customWidth="1"/>
    <col min="7" max="7" width="26.42578125" style="30" customWidth="1"/>
    <col min="8" max="8" width="9" style="1" customWidth="1"/>
    <col min="9" max="9" width="53.42578125" bestFit="1" customWidth="1"/>
    <col min="10" max="10" width="4" customWidth="1"/>
    <col min="11" max="11" width="10.140625" customWidth="1"/>
    <col min="12" max="20" width="10.5703125" customWidth="1"/>
  </cols>
  <sheetData>
    <row r="1" spans="1:11" ht="45" thickBot="1">
      <c r="A1" s="362" t="s">
        <v>71</v>
      </c>
      <c r="B1" s="363"/>
      <c r="C1" s="363"/>
      <c r="D1" s="363"/>
      <c r="E1" s="363"/>
      <c r="F1" s="363"/>
      <c r="G1" s="363"/>
      <c r="H1" s="363"/>
      <c r="I1" s="364"/>
    </row>
    <row r="2" spans="1:11" ht="21" thickBot="1">
      <c r="A2" s="58"/>
      <c r="B2" s="59"/>
      <c r="C2" s="60"/>
      <c r="D2" s="60"/>
      <c r="E2" s="59"/>
      <c r="F2" s="60"/>
      <c r="G2" s="60"/>
      <c r="H2" s="59"/>
      <c r="I2" s="61"/>
    </row>
    <row r="3" spans="1:11" ht="20.25">
      <c r="A3" s="62"/>
      <c r="B3" s="56"/>
      <c r="C3" s="119" t="s">
        <v>26</v>
      </c>
      <c r="D3" s="365" t="s">
        <v>123</v>
      </c>
      <c r="E3" s="366"/>
      <c r="F3" s="367"/>
      <c r="G3" s="57"/>
      <c r="H3" s="56"/>
      <c r="I3" s="52"/>
    </row>
    <row r="4" spans="1:11" ht="21" thickBot="1">
      <c r="A4" s="62"/>
      <c r="B4" s="56"/>
      <c r="C4" s="120" t="s">
        <v>27</v>
      </c>
      <c r="D4" s="356" t="s">
        <v>84</v>
      </c>
      <c r="E4" s="357"/>
      <c r="F4" s="358"/>
      <c r="G4" s="57"/>
      <c r="H4" s="56"/>
      <c r="I4" s="52"/>
    </row>
    <row r="5" spans="1:11" ht="21" thickBot="1">
      <c r="A5" s="62"/>
      <c r="B5" s="56"/>
      <c r="C5" s="121" t="s">
        <v>25</v>
      </c>
      <c r="D5" s="365" t="s">
        <v>124</v>
      </c>
      <c r="E5" s="366"/>
      <c r="F5" s="367"/>
      <c r="G5" s="57"/>
      <c r="H5" s="56"/>
      <c r="I5" s="52"/>
    </row>
    <row r="6" spans="1:11" ht="21" thickBot="1">
      <c r="A6" s="62"/>
      <c r="B6" s="56"/>
      <c r="C6" s="122"/>
      <c r="D6" s="359"/>
      <c r="E6" s="360"/>
      <c r="F6" s="361"/>
      <c r="G6" s="57"/>
      <c r="H6" s="56"/>
      <c r="I6" s="52"/>
      <c r="K6" s="95" t="s">
        <v>31</v>
      </c>
    </row>
    <row r="7" spans="1:11" ht="21" thickBot="1">
      <c r="A7" s="62"/>
      <c r="B7" s="56"/>
      <c r="C7" s="122" t="s">
        <v>30</v>
      </c>
      <c r="D7" s="359" t="s">
        <v>125</v>
      </c>
      <c r="E7" s="360"/>
      <c r="F7" s="361"/>
      <c r="G7" s="57"/>
      <c r="H7" s="56"/>
      <c r="I7" s="52"/>
      <c r="K7" s="96" t="s">
        <v>17</v>
      </c>
    </row>
    <row r="8" spans="1:11" ht="21" thickBot="1">
      <c r="A8" s="62"/>
      <c r="B8" s="56"/>
      <c r="C8" s="123" t="s">
        <v>28</v>
      </c>
      <c r="D8" s="356" t="s">
        <v>97</v>
      </c>
      <c r="E8" s="357"/>
      <c r="F8" s="358"/>
      <c r="G8" s="57"/>
      <c r="H8" s="56"/>
      <c r="I8" s="52"/>
      <c r="K8" s="97"/>
    </row>
    <row r="9" spans="1:11" ht="21" thickBot="1">
      <c r="A9" s="62"/>
      <c r="B9" s="56"/>
      <c r="C9" s="123" t="s">
        <v>95</v>
      </c>
      <c r="D9" s="356" t="s">
        <v>137</v>
      </c>
      <c r="E9" s="357"/>
      <c r="F9" s="358"/>
      <c r="G9" s="57"/>
      <c r="H9" s="56"/>
      <c r="I9" s="52"/>
    </row>
    <row r="10" spans="1:11" ht="13.5" thickBot="1">
      <c r="A10" s="63"/>
      <c r="B10" s="64"/>
      <c r="C10" s="65"/>
      <c r="D10" s="65"/>
      <c r="E10" s="64"/>
      <c r="F10" s="66"/>
      <c r="G10" s="66"/>
      <c r="H10" s="64"/>
      <c r="I10" s="67"/>
    </row>
    <row r="11" spans="1:11" ht="15" customHeight="1">
      <c r="C11" s="51"/>
      <c r="D11" s="51"/>
      <c r="I11" s="328"/>
    </row>
    <row r="12" spans="1:11" ht="17.25" customHeight="1" thickBot="1">
      <c r="A12" s="36"/>
      <c r="B12" s="25"/>
      <c r="C12" s="29"/>
      <c r="D12" s="29"/>
      <c r="E12" s="25"/>
      <c r="F12" s="29"/>
      <c r="G12" s="29"/>
      <c r="H12" s="25"/>
      <c r="I12" s="329"/>
    </row>
    <row r="13" spans="1:11" ht="18.75" customHeight="1">
      <c r="A13" s="42" t="s">
        <v>15</v>
      </c>
      <c r="B13" s="39"/>
      <c r="C13" s="44" t="s">
        <v>67</v>
      </c>
      <c r="D13" s="45"/>
      <c r="E13" s="46"/>
      <c r="F13" s="31" t="s">
        <v>12</v>
      </c>
      <c r="G13" s="32"/>
      <c r="H13" s="21" t="s">
        <v>0</v>
      </c>
      <c r="I13" s="20" t="s">
        <v>1</v>
      </c>
    </row>
    <row r="14" spans="1:11" s="51" customFormat="1" ht="15" customHeight="1" thickBot="1">
      <c r="A14" s="43" t="s">
        <v>2</v>
      </c>
      <c r="B14" s="40" t="s">
        <v>3</v>
      </c>
      <c r="C14" s="193" t="s">
        <v>22</v>
      </c>
      <c r="D14" s="193" t="s">
        <v>18</v>
      </c>
      <c r="E14" s="102" t="s">
        <v>9</v>
      </c>
      <c r="F14" s="101" t="s">
        <v>10</v>
      </c>
      <c r="G14" s="103" t="s">
        <v>13</v>
      </c>
      <c r="H14" s="41" t="s">
        <v>4</v>
      </c>
      <c r="I14" s="194" t="s">
        <v>11</v>
      </c>
    </row>
    <row r="15" spans="1:11" ht="15.75" customHeight="1">
      <c r="A15" s="195">
        <v>0</v>
      </c>
      <c r="B15" s="116" t="str">
        <f>DEC2HEX(A15,3)</f>
        <v>000</v>
      </c>
      <c r="C15" s="48" t="s">
        <v>138</v>
      </c>
      <c r="D15" s="28" t="s">
        <v>143</v>
      </c>
      <c r="E15" s="86" t="s">
        <v>14</v>
      </c>
      <c r="F15" s="87" t="s">
        <v>70</v>
      </c>
      <c r="G15" s="189"/>
      <c r="H15" s="82">
        <v>1</v>
      </c>
      <c r="I15" s="326" t="s">
        <v>94</v>
      </c>
    </row>
    <row r="16" spans="1:11" ht="15.75" customHeight="1">
      <c r="A16" s="195">
        <f>A15+(ROW()-ROW(A15))</f>
        <v>1</v>
      </c>
      <c r="B16" s="116" t="str">
        <f>DEC2HEX(A16,3)</f>
        <v>001</v>
      </c>
      <c r="C16" s="48"/>
      <c r="D16" s="28"/>
      <c r="E16" s="23" t="s">
        <v>14</v>
      </c>
      <c r="F16" s="26" t="s">
        <v>79</v>
      </c>
      <c r="G16" s="203"/>
      <c r="H16" s="84">
        <v>0</v>
      </c>
      <c r="I16" s="327" t="s">
        <v>82</v>
      </c>
    </row>
    <row r="17" spans="1:9" ht="15.75" customHeight="1">
      <c r="A17" s="195">
        <f t="shared" ref="A17:A81" si="0">A16+(ROW()-ROW(A16))</f>
        <v>2</v>
      </c>
      <c r="B17" s="116" t="str">
        <f>DEC2HEX(A17,3)</f>
        <v>002</v>
      </c>
      <c r="C17" s="48"/>
      <c r="D17" s="28"/>
      <c r="E17" s="53" t="s">
        <v>78</v>
      </c>
      <c r="F17" s="261" t="s">
        <v>80</v>
      </c>
      <c r="G17" s="259"/>
      <c r="H17" s="84" t="str">
        <f>Fill</f>
        <v>FF</v>
      </c>
      <c r="I17" s="327"/>
    </row>
    <row r="18" spans="1:9" ht="13.5" thickBot="1">
      <c r="A18" s="195">
        <f t="shared" si="0"/>
        <v>3</v>
      </c>
      <c r="B18" s="116" t="str">
        <f>DEC2HEX(A18,3)</f>
        <v>003</v>
      </c>
      <c r="C18" s="38"/>
      <c r="D18" s="38"/>
      <c r="E18" s="23" t="s">
        <v>78</v>
      </c>
      <c r="F18" s="26" t="s">
        <v>81</v>
      </c>
      <c r="G18" s="117"/>
      <c r="H18" s="85" t="str">
        <f>Fill</f>
        <v>FF</v>
      </c>
      <c r="I18" s="118"/>
    </row>
    <row r="19" spans="1:9">
      <c r="A19" s="195">
        <f t="shared" si="0"/>
        <v>4</v>
      </c>
      <c r="B19" s="116" t="str">
        <f t="shared" ref="B19:B54" si="1">DEC2HEX(A19,3)</f>
        <v>004</v>
      </c>
      <c r="C19" s="38"/>
      <c r="D19" s="37" t="s">
        <v>144</v>
      </c>
      <c r="E19" s="86" t="s">
        <v>88</v>
      </c>
      <c r="F19" s="87" t="s">
        <v>119</v>
      </c>
      <c r="G19" s="296" t="s">
        <v>121</v>
      </c>
      <c r="H19" s="68" t="str">
        <f t="shared" ref="H19:H36" si="2">INDEX(SensorValueX,(ROW()-ROW($H$19)+1))</f>
        <v>00</v>
      </c>
      <c r="I19" s="100"/>
    </row>
    <row r="20" spans="1:9">
      <c r="A20" s="195">
        <f t="shared" si="0"/>
        <v>5</v>
      </c>
      <c r="B20" s="116" t="str">
        <f t="shared" si="1"/>
        <v>005</v>
      </c>
      <c r="C20" s="38"/>
      <c r="D20" s="38"/>
      <c r="E20" s="24"/>
      <c r="F20" s="141"/>
      <c r="G20" s="106">
        <v>9</v>
      </c>
      <c r="H20" s="85" t="str">
        <f t="shared" si="2"/>
        <v>24</v>
      </c>
      <c r="I20" s="112"/>
    </row>
    <row r="21" spans="1:9">
      <c r="A21" s="195">
        <f t="shared" si="0"/>
        <v>6</v>
      </c>
      <c r="B21" s="116" t="str">
        <f t="shared" si="1"/>
        <v>006</v>
      </c>
      <c r="C21" s="38"/>
      <c r="D21" s="38"/>
      <c r="E21" s="24"/>
      <c r="F21" s="141"/>
      <c r="G21" s="106"/>
      <c r="H21" s="85" t="str">
        <f t="shared" si="2"/>
        <v>00</v>
      </c>
      <c r="I21" s="112"/>
    </row>
    <row r="22" spans="1:9">
      <c r="A22" s="195">
        <f t="shared" si="0"/>
        <v>7</v>
      </c>
      <c r="B22" s="116" t="str">
        <f t="shared" si="1"/>
        <v>007</v>
      </c>
      <c r="C22" s="38"/>
      <c r="D22" s="38"/>
      <c r="E22" s="24"/>
      <c r="F22" s="141"/>
      <c r="G22" s="106"/>
      <c r="H22" s="85" t="str">
        <f t="shared" si="2"/>
        <v>63</v>
      </c>
      <c r="I22" s="112"/>
    </row>
    <row r="23" spans="1:9">
      <c r="A23" s="195">
        <f t="shared" si="0"/>
        <v>8</v>
      </c>
      <c r="B23" s="116" t="str">
        <f t="shared" si="1"/>
        <v>008</v>
      </c>
      <c r="C23" s="38"/>
      <c r="D23" s="38"/>
      <c r="E23" s="24"/>
      <c r="F23" s="141"/>
      <c r="G23" s="106"/>
      <c r="H23" s="85" t="str">
        <f t="shared" si="2"/>
        <v>00</v>
      </c>
      <c r="I23" s="112"/>
    </row>
    <row r="24" spans="1:9">
      <c r="A24" s="195">
        <f t="shared" si="0"/>
        <v>9</v>
      </c>
      <c r="B24" s="116" t="str">
        <f t="shared" si="1"/>
        <v>009</v>
      </c>
      <c r="C24" s="38"/>
      <c r="D24" s="38"/>
      <c r="E24" s="24"/>
      <c r="F24" s="141"/>
      <c r="G24" s="106"/>
      <c r="H24" s="85" t="str">
        <f t="shared" si="2"/>
        <v>C7</v>
      </c>
      <c r="I24" s="112"/>
    </row>
    <row r="25" spans="1:9">
      <c r="A25" s="195">
        <f t="shared" si="0"/>
        <v>10</v>
      </c>
      <c r="B25" s="116" t="str">
        <f t="shared" si="1"/>
        <v>00A</v>
      </c>
      <c r="C25" s="38"/>
      <c r="D25" s="38"/>
      <c r="E25" s="24"/>
      <c r="F25" s="141"/>
      <c r="G25" s="106"/>
      <c r="H25" s="85" t="str">
        <f t="shared" si="2"/>
        <v>00</v>
      </c>
      <c r="I25" s="112"/>
    </row>
    <row r="26" spans="1:9">
      <c r="A26" s="195">
        <f t="shared" si="0"/>
        <v>11</v>
      </c>
      <c r="B26" s="116" t="str">
        <f t="shared" si="1"/>
        <v>00B</v>
      </c>
      <c r="C26" s="38"/>
      <c r="D26" s="38"/>
      <c r="E26" s="24"/>
      <c r="F26" s="141"/>
      <c r="G26" s="106"/>
      <c r="H26" s="85" t="str">
        <f t="shared" si="2"/>
        <v>EC</v>
      </c>
      <c r="I26" s="112"/>
    </row>
    <row r="27" spans="1:9">
      <c r="A27" s="195">
        <f t="shared" si="0"/>
        <v>12</v>
      </c>
      <c r="B27" s="116" t="str">
        <f t="shared" si="1"/>
        <v>00C</v>
      </c>
      <c r="C27" s="38"/>
      <c r="D27" s="38"/>
      <c r="E27" s="24"/>
      <c r="F27" s="141"/>
      <c r="G27" s="106"/>
      <c r="H27" s="85" t="str">
        <f t="shared" si="2"/>
        <v>01</v>
      </c>
      <c r="I27" s="112"/>
    </row>
    <row r="28" spans="1:9">
      <c r="A28" s="195">
        <f t="shared" si="0"/>
        <v>13</v>
      </c>
      <c r="B28" s="116" t="str">
        <f t="shared" si="1"/>
        <v>00D</v>
      </c>
      <c r="C28" s="38"/>
      <c r="D28" s="38"/>
      <c r="E28" s="24"/>
      <c r="F28" s="141"/>
      <c r="G28" s="106"/>
      <c r="H28" s="85" t="str">
        <f t="shared" si="2"/>
        <v>16</v>
      </c>
      <c r="I28" s="112"/>
    </row>
    <row r="29" spans="1:9">
      <c r="A29" s="195">
        <f t="shared" si="0"/>
        <v>14</v>
      </c>
      <c r="B29" s="116" t="str">
        <f t="shared" si="1"/>
        <v>00E</v>
      </c>
      <c r="C29" s="38"/>
      <c r="D29" s="38"/>
      <c r="E29" s="24"/>
      <c r="F29" s="141"/>
      <c r="G29" s="106"/>
      <c r="H29" s="85" t="str">
        <f t="shared" si="2"/>
        <v>01</v>
      </c>
      <c r="I29" s="112"/>
    </row>
    <row r="30" spans="1:9">
      <c r="A30" s="195">
        <f t="shared" si="0"/>
        <v>15</v>
      </c>
      <c r="B30" s="116" t="str">
        <f t="shared" si="1"/>
        <v>00F</v>
      </c>
      <c r="C30" s="38"/>
      <c r="D30" s="38"/>
      <c r="E30" s="24"/>
      <c r="F30" s="141"/>
      <c r="G30" s="106"/>
      <c r="H30" s="85" t="str">
        <f t="shared" si="2"/>
        <v>47</v>
      </c>
      <c r="I30" s="112"/>
    </row>
    <row r="31" spans="1:9">
      <c r="A31" s="195">
        <f t="shared" si="0"/>
        <v>16</v>
      </c>
      <c r="B31" s="116" t="str">
        <f t="shared" si="1"/>
        <v>010</v>
      </c>
      <c r="C31" s="38"/>
      <c r="D31" s="38"/>
      <c r="E31" s="24"/>
      <c r="F31" s="141"/>
      <c r="G31" s="106"/>
      <c r="H31" s="85" t="str">
        <f t="shared" si="2"/>
        <v>01</v>
      </c>
      <c r="I31" s="112"/>
    </row>
    <row r="32" spans="1:9">
      <c r="A32" s="195">
        <f t="shared" si="0"/>
        <v>17</v>
      </c>
      <c r="B32" s="116" t="str">
        <f t="shared" si="1"/>
        <v>011</v>
      </c>
      <c r="C32" s="38"/>
      <c r="D32" s="38"/>
      <c r="E32" s="24"/>
      <c r="F32" s="141"/>
      <c r="G32" s="106"/>
      <c r="H32" s="85" t="str">
        <f t="shared" si="2"/>
        <v>F7</v>
      </c>
      <c r="I32" s="112"/>
    </row>
    <row r="33" spans="1:9">
      <c r="A33" s="195">
        <f t="shared" si="0"/>
        <v>18</v>
      </c>
      <c r="B33" s="116" t="str">
        <f t="shared" si="1"/>
        <v>012</v>
      </c>
      <c r="C33" s="38"/>
      <c r="D33" s="38"/>
      <c r="E33" s="24"/>
      <c r="F33" s="141"/>
      <c r="G33" s="106"/>
      <c r="H33" s="85" t="str">
        <f t="shared" si="2"/>
        <v>03</v>
      </c>
      <c r="I33" s="112"/>
    </row>
    <row r="34" spans="1:9">
      <c r="A34" s="195">
        <f t="shared" si="0"/>
        <v>19</v>
      </c>
      <c r="B34" s="116" t="str">
        <f t="shared" si="1"/>
        <v>013</v>
      </c>
      <c r="C34" s="38"/>
      <c r="D34" s="38"/>
      <c r="E34" s="24"/>
      <c r="F34" s="141"/>
      <c r="G34" s="106"/>
      <c r="H34" s="85" t="str">
        <f t="shared" si="2"/>
        <v>26</v>
      </c>
      <c r="I34" s="112"/>
    </row>
    <row r="35" spans="1:9">
      <c r="A35" s="195">
        <f t="shared" si="0"/>
        <v>20</v>
      </c>
      <c r="B35" s="116" t="str">
        <f t="shared" si="1"/>
        <v>014</v>
      </c>
      <c r="C35" s="38"/>
      <c r="D35" s="38"/>
      <c r="E35" s="24"/>
      <c r="F35" s="141"/>
      <c r="G35" s="106"/>
      <c r="H35" s="85" t="str">
        <f t="shared" si="2"/>
        <v>03</v>
      </c>
      <c r="I35" s="112"/>
    </row>
    <row r="36" spans="1:9">
      <c r="A36" s="195">
        <f t="shared" si="0"/>
        <v>21</v>
      </c>
      <c r="B36" s="116" t="str">
        <f t="shared" si="1"/>
        <v>015</v>
      </c>
      <c r="C36" s="38"/>
      <c r="D36" s="38"/>
      <c r="E36" s="22"/>
      <c r="F36" s="139"/>
      <c r="G36" s="140"/>
      <c r="H36" s="85" t="str">
        <f t="shared" si="2"/>
        <v>9A</v>
      </c>
      <c r="I36" s="124"/>
    </row>
    <row r="37" spans="1:9">
      <c r="A37" s="195">
        <f t="shared" si="0"/>
        <v>22</v>
      </c>
      <c r="B37" s="116" t="str">
        <f t="shared" si="1"/>
        <v>016</v>
      </c>
      <c r="C37" s="38"/>
      <c r="D37" s="38"/>
      <c r="E37" s="23" t="s">
        <v>87</v>
      </c>
      <c r="F37" s="26" t="s">
        <v>122</v>
      </c>
      <c r="G37" s="202" t="s">
        <v>120</v>
      </c>
      <c r="H37" s="85" t="str">
        <f t="shared" ref="H37:H54" si="3">INDEX(SensorValueY,(ROW()-ROW($H$37)+1))</f>
        <v>04</v>
      </c>
      <c r="I37" s="107"/>
    </row>
    <row r="38" spans="1:9">
      <c r="A38" s="195">
        <f t="shared" si="0"/>
        <v>23</v>
      </c>
      <c r="B38" s="116" t="str">
        <f t="shared" si="1"/>
        <v>017</v>
      </c>
      <c r="C38" s="38"/>
      <c r="D38" s="38"/>
      <c r="E38" s="24"/>
      <c r="F38" s="141"/>
      <c r="G38" s="106"/>
      <c r="H38" s="85" t="str">
        <f t="shared" si="3"/>
        <v>B0</v>
      </c>
      <c r="I38" s="112"/>
    </row>
    <row r="39" spans="1:9">
      <c r="A39" s="195">
        <f t="shared" si="0"/>
        <v>24</v>
      </c>
      <c r="B39" s="116" t="str">
        <f t="shared" si="1"/>
        <v>018</v>
      </c>
      <c r="C39" s="38"/>
      <c r="D39" s="38"/>
      <c r="E39" s="24"/>
      <c r="F39" s="141"/>
      <c r="G39" s="106"/>
      <c r="H39" s="85" t="str">
        <f t="shared" si="3"/>
        <v>03</v>
      </c>
      <c r="I39" s="112"/>
    </row>
    <row r="40" spans="1:9">
      <c r="A40" s="195">
        <f t="shared" si="0"/>
        <v>25</v>
      </c>
      <c r="B40" s="116" t="str">
        <f t="shared" si="1"/>
        <v>019</v>
      </c>
      <c r="C40" s="38"/>
      <c r="D40" s="38"/>
      <c r="E40" s="24"/>
      <c r="F40" s="141"/>
      <c r="G40" s="106"/>
      <c r="H40" s="85" t="str">
        <f t="shared" si="3"/>
        <v>84</v>
      </c>
      <c r="I40" s="112"/>
    </row>
    <row r="41" spans="1:9">
      <c r="A41" s="195">
        <f t="shared" si="0"/>
        <v>26</v>
      </c>
      <c r="B41" s="116" t="str">
        <f t="shared" si="1"/>
        <v>01A</v>
      </c>
      <c r="C41" s="38"/>
      <c r="D41" s="38"/>
      <c r="E41" s="24"/>
      <c r="F41" s="141"/>
      <c r="G41" s="106"/>
      <c r="H41" s="85" t="str">
        <f t="shared" si="3"/>
        <v>02</v>
      </c>
      <c r="I41" s="112"/>
    </row>
    <row r="42" spans="1:9">
      <c r="A42" s="195">
        <f t="shared" si="0"/>
        <v>27</v>
      </c>
      <c r="B42" s="116" t="str">
        <f t="shared" si="1"/>
        <v>01B</v>
      </c>
      <c r="C42" s="38"/>
      <c r="D42" s="38"/>
      <c r="E42" s="24"/>
      <c r="F42" s="141"/>
      <c r="G42" s="106"/>
      <c r="H42" s="85" t="str">
        <f t="shared" si="3"/>
        <v>BC</v>
      </c>
      <c r="I42" s="112"/>
    </row>
    <row r="43" spans="1:9">
      <c r="A43" s="195">
        <f t="shared" si="0"/>
        <v>28</v>
      </c>
      <c r="B43" s="116" t="str">
        <f t="shared" si="1"/>
        <v>01C</v>
      </c>
      <c r="C43" s="38"/>
      <c r="D43" s="38"/>
      <c r="E43" s="24"/>
      <c r="F43" s="141"/>
      <c r="G43" s="106"/>
      <c r="H43" s="85" t="str">
        <f t="shared" si="3"/>
        <v>02</v>
      </c>
      <c r="I43" s="112"/>
    </row>
    <row r="44" spans="1:9">
      <c r="A44" s="195">
        <f t="shared" si="0"/>
        <v>29</v>
      </c>
      <c r="B44" s="116" t="str">
        <f t="shared" si="1"/>
        <v>01D</v>
      </c>
      <c r="C44" s="38"/>
      <c r="D44" s="38"/>
      <c r="E44" s="24"/>
      <c r="F44" s="141"/>
      <c r="G44" s="106"/>
      <c r="H44" s="85" t="str">
        <f t="shared" si="3"/>
        <v>8A</v>
      </c>
      <c r="I44" s="112"/>
    </row>
    <row r="45" spans="1:9">
      <c r="A45" s="195">
        <f t="shared" si="0"/>
        <v>30</v>
      </c>
      <c r="B45" s="116" t="str">
        <f t="shared" si="1"/>
        <v>01E</v>
      </c>
      <c r="C45" s="38"/>
      <c r="D45" s="38"/>
      <c r="E45" s="24"/>
      <c r="F45" s="141"/>
      <c r="G45" s="106"/>
      <c r="H45" s="85" t="str">
        <f t="shared" si="3"/>
        <v>02</v>
      </c>
      <c r="I45" s="112"/>
    </row>
    <row r="46" spans="1:9">
      <c r="A46" s="195">
        <f t="shared" si="0"/>
        <v>31</v>
      </c>
      <c r="B46" s="116" t="str">
        <f t="shared" si="1"/>
        <v>01F</v>
      </c>
      <c r="C46" s="38"/>
      <c r="D46" s="38"/>
      <c r="E46" s="24"/>
      <c r="F46" s="141"/>
      <c r="G46" s="106"/>
      <c r="H46" s="85" t="str">
        <f t="shared" si="3"/>
        <v>58</v>
      </c>
      <c r="I46" s="112"/>
    </row>
    <row r="47" spans="1:9">
      <c r="A47" s="195">
        <f t="shared" si="0"/>
        <v>32</v>
      </c>
      <c r="B47" s="116" t="str">
        <f t="shared" si="1"/>
        <v>020</v>
      </c>
      <c r="C47" s="38"/>
      <c r="D47" s="38"/>
      <c r="E47" s="24"/>
      <c r="F47" s="141"/>
      <c r="G47" s="106"/>
      <c r="H47" s="85" t="str">
        <f t="shared" si="3"/>
        <v>02</v>
      </c>
      <c r="I47" s="112"/>
    </row>
    <row r="48" spans="1:9">
      <c r="A48" s="195">
        <f t="shared" si="0"/>
        <v>33</v>
      </c>
      <c r="B48" s="116" t="str">
        <f t="shared" si="1"/>
        <v>021</v>
      </c>
      <c r="C48" s="38"/>
      <c r="D48" s="38"/>
      <c r="E48" s="24"/>
      <c r="F48" s="141"/>
      <c r="G48" s="106"/>
      <c r="H48" s="85" t="str">
        <f t="shared" si="3"/>
        <v>26</v>
      </c>
      <c r="I48" s="112"/>
    </row>
    <row r="49" spans="1:9">
      <c r="A49" s="195">
        <f t="shared" si="0"/>
        <v>34</v>
      </c>
      <c r="B49" s="116" t="str">
        <f t="shared" si="1"/>
        <v>022</v>
      </c>
      <c r="C49" s="38"/>
      <c r="D49" s="38"/>
      <c r="E49" s="24"/>
      <c r="F49" s="141"/>
      <c r="G49" s="106"/>
      <c r="H49" s="85" t="str">
        <f t="shared" si="3"/>
        <v>01</v>
      </c>
      <c r="I49" s="112"/>
    </row>
    <row r="50" spans="1:9">
      <c r="A50" s="195">
        <f t="shared" si="0"/>
        <v>35</v>
      </c>
      <c r="B50" s="116" t="str">
        <f t="shared" si="1"/>
        <v>023</v>
      </c>
      <c r="C50" s="38"/>
      <c r="D50" s="38"/>
      <c r="E50" s="24"/>
      <c r="F50" s="141"/>
      <c r="G50" s="106"/>
      <c r="H50" s="85" t="str">
        <f t="shared" si="3"/>
        <v>90</v>
      </c>
      <c r="I50" s="112"/>
    </row>
    <row r="51" spans="1:9">
      <c r="A51" s="195">
        <f t="shared" si="0"/>
        <v>36</v>
      </c>
      <c r="B51" s="116" t="str">
        <f t="shared" si="1"/>
        <v>024</v>
      </c>
      <c r="C51" s="38"/>
      <c r="D51" s="38"/>
      <c r="E51" s="24"/>
      <c r="F51" s="141"/>
      <c r="G51" s="106"/>
      <c r="H51" s="85" t="str">
        <f t="shared" si="3"/>
        <v>00</v>
      </c>
      <c r="I51" s="112"/>
    </row>
    <row r="52" spans="1:9">
      <c r="A52" s="195">
        <f t="shared" si="0"/>
        <v>37</v>
      </c>
      <c r="B52" s="116" t="str">
        <f t="shared" si="1"/>
        <v>025</v>
      </c>
      <c r="C52" s="38"/>
      <c r="D52" s="38"/>
      <c r="E52" s="24"/>
      <c r="F52" s="141"/>
      <c r="G52" s="106"/>
      <c r="H52" s="85" t="str">
        <f t="shared" si="3"/>
        <v>96</v>
      </c>
      <c r="I52" s="112"/>
    </row>
    <row r="53" spans="1:9">
      <c r="A53" s="195">
        <f t="shared" si="0"/>
        <v>38</v>
      </c>
      <c r="B53" s="116" t="str">
        <f t="shared" si="1"/>
        <v>026</v>
      </c>
      <c r="C53" s="38"/>
      <c r="D53" s="38"/>
      <c r="E53" s="24"/>
      <c r="F53" s="141"/>
      <c r="G53" s="106"/>
      <c r="H53" s="85" t="str">
        <f t="shared" si="3"/>
        <v>00</v>
      </c>
      <c r="I53" s="112"/>
    </row>
    <row r="54" spans="1:9" ht="13.5" thickBot="1">
      <c r="A54" s="195">
        <f t="shared" si="0"/>
        <v>39</v>
      </c>
      <c r="B54" s="116" t="str">
        <f t="shared" si="1"/>
        <v>027</v>
      </c>
      <c r="C54" s="38"/>
      <c r="D54" s="293"/>
      <c r="E54" s="22"/>
      <c r="F54" s="139"/>
      <c r="G54" s="140"/>
      <c r="H54" s="85" t="str">
        <f t="shared" si="3"/>
        <v>00</v>
      </c>
      <c r="I54" s="124"/>
    </row>
    <row r="55" spans="1:9">
      <c r="A55" s="195">
        <f t="shared" si="0"/>
        <v>40</v>
      </c>
      <c r="B55" s="116" t="str">
        <f t="shared" ref="B55:B64" si="4">DEC2HEX(A55,3)</f>
        <v>028</v>
      </c>
      <c r="C55" s="48"/>
      <c r="D55" s="33" t="s">
        <v>23</v>
      </c>
      <c r="E55" s="191" t="s">
        <v>14</v>
      </c>
      <c r="F55" s="34" t="s">
        <v>19</v>
      </c>
      <c r="G55" s="79"/>
      <c r="H55" s="82" t="str">
        <f>Checksum_ADD(H15:H54)</f>
        <v>7B</v>
      </c>
      <c r="I55" s="61" t="s">
        <v>92</v>
      </c>
    </row>
    <row r="56" spans="1:9" ht="13.5" thickBot="1">
      <c r="A56" s="195">
        <f t="shared" si="0"/>
        <v>41</v>
      </c>
      <c r="B56" s="116" t="str">
        <f t="shared" si="4"/>
        <v>029</v>
      </c>
      <c r="C56" s="298"/>
      <c r="D56" s="178" t="s">
        <v>23</v>
      </c>
      <c r="E56" s="192" t="s">
        <v>14</v>
      </c>
      <c r="F56" s="80" t="s">
        <v>20</v>
      </c>
      <c r="G56" s="80"/>
      <c r="H56" s="83" t="str">
        <f>Checksum_XOR(H15:H54)</f>
        <v>B</v>
      </c>
      <c r="I56" s="118" t="s">
        <v>93</v>
      </c>
    </row>
    <row r="57" spans="1:9" ht="15.75" customHeight="1">
      <c r="A57" s="195">
        <f t="shared" si="0"/>
        <v>42</v>
      </c>
      <c r="B57" s="116" t="str">
        <f t="shared" si="4"/>
        <v>02A</v>
      </c>
      <c r="C57" s="48" t="s">
        <v>139</v>
      </c>
      <c r="D57" s="28" t="s">
        <v>145</v>
      </c>
      <c r="E57" s="86" t="s">
        <v>14</v>
      </c>
      <c r="F57" s="87" t="s">
        <v>70</v>
      </c>
      <c r="G57" s="189"/>
      <c r="H57" s="82">
        <v>1</v>
      </c>
      <c r="I57" s="52" t="s">
        <v>94</v>
      </c>
    </row>
    <row r="58" spans="1:9" ht="15.75" customHeight="1" thickBot="1">
      <c r="A58" s="195">
        <f t="shared" si="0"/>
        <v>43</v>
      </c>
      <c r="B58" s="116" t="str">
        <f t="shared" si="4"/>
        <v>02B</v>
      </c>
      <c r="C58" s="48"/>
      <c r="D58" s="28"/>
      <c r="E58" s="53" t="s">
        <v>78</v>
      </c>
      <c r="F58" s="261" t="s">
        <v>80</v>
      </c>
      <c r="G58" s="259"/>
      <c r="H58" s="84" t="str">
        <f>Fill</f>
        <v>FF</v>
      </c>
      <c r="I58" s="81"/>
    </row>
    <row r="59" spans="1:9">
      <c r="A59" s="195">
        <f t="shared" si="0"/>
        <v>44</v>
      </c>
      <c r="B59" s="116" t="str">
        <f t="shared" si="4"/>
        <v>02C</v>
      </c>
      <c r="C59" s="48"/>
      <c r="D59" s="297" t="s">
        <v>146</v>
      </c>
      <c r="E59" s="86" t="s">
        <v>88</v>
      </c>
      <c r="F59" s="87" t="s">
        <v>126</v>
      </c>
      <c r="G59" s="296" t="s">
        <v>134</v>
      </c>
      <c r="H59" s="68" t="str">
        <f>INDEX(StaticOffsetTbl_X,(ROW()-ROW($H$59)+1))</f>
        <v>00</v>
      </c>
      <c r="I59" s="100"/>
    </row>
    <row r="60" spans="1:9">
      <c r="A60" s="195">
        <f t="shared" si="0"/>
        <v>45</v>
      </c>
      <c r="B60" s="116" t="str">
        <f t="shared" si="4"/>
        <v>02D</v>
      </c>
      <c r="C60" s="38"/>
      <c r="D60" s="256"/>
      <c r="E60" s="24"/>
      <c r="F60" s="141"/>
      <c r="G60" s="106">
        <v>7</v>
      </c>
      <c r="H60" s="85" t="str">
        <f t="shared" ref="H60:H72" si="5">INDEX(StaticOffsetTbl_X,(ROW()-ROW($H$59)+1))</f>
        <v>00</v>
      </c>
      <c r="I60" s="112"/>
    </row>
    <row r="61" spans="1:9">
      <c r="A61" s="195">
        <f t="shared" si="0"/>
        <v>46</v>
      </c>
      <c r="B61" s="116" t="str">
        <f t="shared" si="4"/>
        <v>02E</v>
      </c>
      <c r="C61" s="38"/>
      <c r="D61" s="38"/>
      <c r="E61" s="24"/>
      <c r="F61" s="141"/>
      <c r="G61" s="106"/>
      <c r="H61" s="85" t="str">
        <f t="shared" si="5"/>
        <v>00</v>
      </c>
      <c r="I61" s="112"/>
    </row>
    <row r="62" spans="1:9">
      <c r="A62" s="195">
        <f t="shared" si="0"/>
        <v>47</v>
      </c>
      <c r="B62" s="116" t="str">
        <f t="shared" si="4"/>
        <v>02F</v>
      </c>
      <c r="C62" s="38"/>
      <c r="D62" s="38"/>
      <c r="E62" s="24"/>
      <c r="F62" s="141"/>
      <c r="G62" s="106"/>
      <c r="H62" s="85" t="str">
        <f t="shared" si="5"/>
        <v>01</v>
      </c>
      <c r="I62" s="112"/>
    </row>
    <row r="63" spans="1:9">
      <c r="A63" s="195">
        <f t="shared" si="0"/>
        <v>48</v>
      </c>
      <c r="B63" s="116" t="str">
        <f t="shared" si="4"/>
        <v>030</v>
      </c>
      <c r="C63" s="38"/>
      <c r="D63" s="38"/>
      <c r="E63" s="24"/>
      <c r="F63" s="141"/>
      <c r="G63" s="106"/>
      <c r="H63" s="85" t="str">
        <f t="shared" si="5"/>
        <v>00</v>
      </c>
      <c r="I63" s="112"/>
    </row>
    <row r="64" spans="1:9">
      <c r="A64" s="195">
        <f t="shared" si="0"/>
        <v>49</v>
      </c>
      <c r="B64" s="116" t="str">
        <f t="shared" si="4"/>
        <v>031</v>
      </c>
      <c r="C64" s="38"/>
      <c r="D64" s="38"/>
      <c r="E64" s="24"/>
      <c r="F64" s="141"/>
      <c r="G64" s="106"/>
      <c r="H64" s="85" t="str">
        <f t="shared" si="5"/>
        <v>02</v>
      </c>
      <c r="I64" s="112"/>
    </row>
    <row r="65" spans="1:9">
      <c r="A65" s="195">
        <f t="shared" si="0"/>
        <v>50</v>
      </c>
      <c r="B65" s="116" t="str">
        <f t="shared" ref="B65:B69" si="6">DEC2HEX(A65,3)</f>
        <v>032</v>
      </c>
      <c r="C65" s="38"/>
      <c r="D65" s="38"/>
      <c r="E65" s="24"/>
      <c r="F65" s="141"/>
      <c r="G65" s="106"/>
      <c r="H65" s="85" t="str">
        <f t="shared" si="5"/>
        <v>00</v>
      </c>
      <c r="I65" s="112"/>
    </row>
    <row r="66" spans="1:9">
      <c r="A66" s="195">
        <f t="shared" si="0"/>
        <v>51</v>
      </c>
      <c r="B66" s="116" t="str">
        <f t="shared" si="6"/>
        <v>033</v>
      </c>
      <c r="C66" s="38"/>
      <c r="D66" s="38"/>
      <c r="E66" s="24"/>
      <c r="F66" s="141"/>
      <c r="G66" s="106"/>
      <c r="H66" s="85" t="str">
        <f t="shared" si="5"/>
        <v>03</v>
      </c>
      <c r="I66" s="112"/>
    </row>
    <row r="67" spans="1:9">
      <c r="A67" s="195">
        <f t="shared" si="0"/>
        <v>52</v>
      </c>
      <c r="B67" s="116" t="str">
        <f t="shared" si="6"/>
        <v>034</v>
      </c>
      <c r="C67" s="38"/>
      <c r="D67" s="38"/>
      <c r="E67" s="24"/>
      <c r="F67" s="141"/>
      <c r="G67" s="106"/>
      <c r="H67" s="85" t="str">
        <f t="shared" si="5"/>
        <v>00</v>
      </c>
      <c r="I67" s="112"/>
    </row>
    <row r="68" spans="1:9">
      <c r="A68" s="195">
        <f t="shared" si="0"/>
        <v>53</v>
      </c>
      <c r="B68" s="116" t="str">
        <f t="shared" si="6"/>
        <v>035</v>
      </c>
      <c r="C68" s="38"/>
      <c r="D68" s="38"/>
      <c r="E68" s="24"/>
      <c r="F68" s="141"/>
      <c r="G68" s="106"/>
      <c r="H68" s="85" t="str">
        <f t="shared" si="5"/>
        <v>04</v>
      </c>
      <c r="I68" s="112"/>
    </row>
    <row r="69" spans="1:9">
      <c r="A69" s="195">
        <f t="shared" si="0"/>
        <v>54</v>
      </c>
      <c r="B69" s="116" t="str">
        <f t="shared" si="6"/>
        <v>036</v>
      </c>
      <c r="C69" s="38"/>
      <c r="D69" s="38"/>
      <c r="E69" s="24"/>
      <c r="F69" s="141"/>
      <c r="G69" s="106"/>
      <c r="H69" s="85" t="str">
        <f t="shared" si="5"/>
        <v>00</v>
      </c>
      <c r="I69" s="112"/>
    </row>
    <row r="70" spans="1:9">
      <c r="A70" s="195">
        <f t="shared" si="0"/>
        <v>55</v>
      </c>
      <c r="B70" s="116" t="str">
        <f t="shared" ref="B70:B126" si="7">DEC2HEX(A70,3)</f>
        <v>037</v>
      </c>
      <c r="C70" s="38"/>
      <c r="D70" s="38"/>
      <c r="E70" s="24"/>
      <c r="F70" s="141"/>
      <c r="G70" s="106"/>
      <c r="H70" s="85" t="str">
        <f t="shared" si="5"/>
        <v>05</v>
      </c>
      <c r="I70" s="112"/>
    </row>
    <row r="71" spans="1:9">
      <c r="A71" s="195">
        <f t="shared" si="0"/>
        <v>56</v>
      </c>
      <c r="B71" s="116" t="str">
        <f t="shared" si="7"/>
        <v>038</v>
      </c>
      <c r="C71" s="38"/>
      <c r="D71" s="38"/>
      <c r="E71" s="24"/>
      <c r="F71" s="141"/>
      <c r="G71" s="106"/>
      <c r="H71" s="85" t="str">
        <f t="shared" si="5"/>
        <v>00</v>
      </c>
      <c r="I71" s="112"/>
    </row>
    <row r="72" spans="1:9">
      <c r="A72" s="195">
        <f t="shared" si="0"/>
        <v>57</v>
      </c>
      <c r="B72" s="116" t="str">
        <f t="shared" si="7"/>
        <v>039</v>
      </c>
      <c r="C72" s="38"/>
      <c r="D72" s="38"/>
      <c r="E72" s="24"/>
      <c r="F72" s="141"/>
      <c r="G72" s="106"/>
      <c r="H72" s="85" t="str">
        <f t="shared" si="5"/>
        <v>06</v>
      </c>
      <c r="I72" s="112"/>
    </row>
    <row r="73" spans="1:9">
      <c r="A73" s="195">
        <f t="shared" si="0"/>
        <v>58</v>
      </c>
      <c r="B73" s="116" t="str">
        <f t="shared" si="7"/>
        <v>03A</v>
      </c>
      <c r="C73" s="38"/>
      <c r="D73" s="256"/>
      <c r="E73" s="23" t="s">
        <v>87</v>
      </c>
      <c r="F73" s="26" t="s">
        <v>127</v>
      </c>
      <c r="G73" s="202" t="s">
        <v>133</v>
      </c>
      <c r="H73" s="85" t="str">
        <f t="shared" ref="H73:H86" si="8">INDEX(StaticOffsetTbl_Y0,(ROW()-ROW($H$73)+1))</f>
        <v>02</v>
      </c>
      <c r="I73" s="107"/>
    </row>
    <row r="74" spans="1:9">
      <c r="A74" s="195">
        <f t="shared" si="0"/>
        <v>59</v>
      </c>
      <c r="B74" s="116" t="str">
        <f t="shared" si="7"/>
        <v>03B</v>
      </c>
      <c r="C74" s="38"/>
      <c r="D74" s="256"/>
      <c r="E74" s="24"/>
      <c r="F74" s="141"/>
      <c r="G74" s="106"/>
      <c r="H74" s="85" t="str">
        <f t="shared" si="8"/>
        <v>1C</v>
      </c>
      <c r="I74" s="112"/>
    </row>
    <row r="75" spans="1:9">
      <c r="A75" s="195">
        <f t="shared" si="0"/>
        <v>60</v>
      </c>
      <c r="B75" s="116" t="str">
        <f t="shared" si="7"/>
        <v>03C</v>
      </c>
      <c r="C75" s="38"/>
      <c r="D75" s="256"/>
      <c r="E75" s="24"/>
      <c r="F75" s="141"/>
      <c r="G75" s="106"/>
      <c r="H75" s="85" t="str">
        <f t="shared" si="8"/>
        <v>02</v>
      </c>
      <c r="I75" s="112"/>
    </row>
    <row r="76" spans="1:9">
      <c r="A76" s="195">
        <f t="shared" si="0"/>
        <v>61</v>
      </c>
      <c r="B76" s="116" t="str">
        <f t="shared" si="7"/>
        <v>03D</v>
      </c>
      <c r="C76" s="38"/>
      <c r="D76" s="256"/>
      <c r="E76" s="24"/>
      <c r="F76" s="141"/>
      <c r="G76" s="106"/>
      <c r="H76" s="85" t="str">
        <f t="shared" si="8"/>
        <v>1C</v>
      </c>
      <c r="I76" s="112"/>
    </row>
    <row r="77" spans="1:9">
      <c r="A77" s="195">
        <f t="shared" si="0"/>
        <v>62</v>
      </c>
      <c r="B77" s="116" t="str">
        <f t="shared" si="7"/>
        <v>03E</v>
      </c>
      <c r="C77" s="38"/>
      <c r="D77" s="256"/>
      <c r="E77" s="24"/>
      <c r="F77" s="141"/>
      <c r="G77" s="106"/>
      <c r="H77" s="85" t="str">
        <f t="shared" si="8"/>
        <v>02</v>
      </c>
      <c r="I77" s="112"/>
    </row>
    <row r="78" spans="1:9">
      <c r="A78" s="195">
        <f t="shared" si="0"/>
        <v>63</v>
      </c>
      <c r="B78" s="116" t="str">
        <f t="shared" si="7"/>
        <v>03F</v>
      </c>
      <c r="C78" s="38"/>
      <c r="D78" s="256"/>
      <c r="E78" s="24"/>
      <c r="F78" s="141"/>
      <c r="G78" s="106"/>
      <c r="H78" s="85" t="str">
        <f t="shared" si="8"/>
        <v>1C</v>
      </c>
      <c r="I78" s="112"/>
    </row>
    <row r="79" spans="1:9">
      <c r="A79" s="195">
        <f t="shared" si="0"/>
        <v>64</v>
      </c>
      <c r="B79" s="116" t="str">
        <f t="shared" si="7"/>
        <v>040</v>
      </c>
      <c r="C79" s="38"/>
      <c r="D79" s="256"/>
      <c r="E79" s="24"/>
      <c r="F79" s="141"/>
      <c r="G79" s="106"/>
      <c r="H79" s="85" t="str">
        <f t="shared" si="8"/>
        <v>02</v>
      </c>
      <c r="I79" s="112"/>
    </row>
    <row r="80" spans="1:9">
      <c r="A80" s="195">
        <f t="shared" si="0"/>
        <v>65</v>
      </c>
      <c r="B80" s="116" t="str">
        <f t="shared" si="7"/>
        <v>041</v>
      </c>
      <c r="C80" s="38"/>
      <c r="D80" s="256"/>
      <c r="E80" s="24"/>
      <c r="F80" s="141"/>
      <c r="G80" s="106"/>
      <c r="H80" s="85" t="str">
        <f t="shared" si="8"/>
        <v>1C</v>
      </c>
      <c r="I80" s="112"/>
    </row>
    <row r="81" spans="1:9">
      <c r="A81" s="195">
        <f t="shared" si="0"/>
        <v>66</v>
      </c>
      <c r="B81" s="116" t="str">
        <f t="shared" si="7"/>
        <v>042</v>
      </c>
      <c r="C81" s="38"/>
      <c r="D81" s="256"/>
      <c r="E81" s="24"/>
      <c r="F81" s="141"/>
      <c r="G81" s="106"/>
      <c r="H81" s="85" t="str">
        <f t="shared" si="8"/>
        <v>02</v>
      </c>
      <c r="I81" s="112"/>
    </row>
    <row r="82" spans="1:9">
      <c r="A82" s="195">
        <f t="shared" ref="A82:A126" si="9">A81+(ROW()-ROW(A81))</f>
        <v>67</v>
      </c>
      <c r="B82" s="116" t="str">
        <f t="shared" si="7"/>
        <v>043</v>
      </c>
      <c r="C82" s="38"/>
      <c r="D82" s="256"/>
      <c r="E82" s="24"/>
      <c r="F82" s="141"/>
      <c r="G82" s="106"/>
      <c r="H82" s="85" t="str">
        <f t="shared" si="8"/>
        <v>1C</v>
      </c>
      <c r="I82" s="112"/>
    </row>
    <row r="83" spans="1:9">
      <c r="A83" s="195">
        <f t="shared" si="9"/>
        <v>68</v>
      </c>
      <c r="B83" s="116" t="str">
        <f t="shared" si="7"/>
        <v>044</v>
      </c>
      <c r="C83" s="38"/>
      <c r="D83" s="256"/>
      <c r="E83" s="24"/>
      <c r="F83" s="141"/>
      <c r="G83" s="106"/>
      <c r="H83" s="85" t="str">
        <f t="shared" si="8"/>
        <v>02</v>
      </c>
      <c r="I83" s="112"/>
    </row>
    <row r="84" spans="1:9">
      <c r="A84" s="195">
        <f t="shared" si="9"/>
        <v>69</v>
      </c>
      <c r="B84" s="116" t="str">
        <f t="shared" si="7"/>
        <v>045</v>
      </c>
      <c r="C84" s="38"/>
      <c r="D84" s="256"/>
      <c r="E84" s="24"/>
      <c r="F84" s="141"/>
      <c r="G84" s="106"/>
      <c r="H84" s="85" t="str">
        <f t="shared" si="8"/>
        <v>1C</v>
      </c>
      <c r="I84" s="112"/>
    </row>
    <row r="85" spans="1:9">
      <c r="A85" s="195">
        <f t="shared" si="9"/>
        <v>70</v>
      </c>
      <c r="B85" s="116" t="str">
        <f t="shared" si="7"/>
        <v>046</v>
      </c>
      <c r="C85" s="38"/>
      <c r="D85" s="256"/>
      <c r="E85" s="24"/>
      <c r="F85" s="141"/>
      <c r="G85" s="106"/>
      <c r="H85" s="85" t="str">
        <f t="shared" si="8"/>
        <v>02</v>
      </c>
      <c r="I85" s="112"/>
    </row>
    <row r="86" spans="1:9">
      <c r="A86" s="195">
        <f t="shared" si="9"/>
        <v>71</v>
      </c>
      <c r="B86" s="116" t="str">
        <f t="shared" si="7"/>
        <v>047</v>
      </c>
      <c r="C86" s="38"/>
      <c r="D86" s="256"/>
      <c r="E86" s="24"/>
      <c r="F86" s="141"/>
      <c r="G86" s="106"/>
      <c r="H86" s="85" t="str">
        <f t="shared" si="8"/>
        <v>1C</v>
      </c>
      <c r="I86" s="112"/>
    </row>
    <row r="87" spans="1:9">
      <c r="A87" s="195">
        <f t="shared" si="9"/>
        <v>72</v>
      </c>
      <c r="B87" s="116" t="str">
        <f t="shared" si="7"/>
        <v>048</v>
      </c>
      <c r="C87" s="38"/>
      <c r="D87" s="256"/>
      <c r="E87" s="23" t="s">
        <v>87</v>
      </c>
      <c r="F87" s="26" t="s">
        <v>128</v>
      </c>
      <c r="G87" s="202" t="s">
        <v>133</v>
      </c>
      <c r="H87" s="85" t="str">
        <f t="shared" ref="H87:H100" si="10">INDEX(StaticOffsetTbl_Y1,(ROW()-ROW($H$87)+1))</f>
        <v>02</v>
      </c>
      <c r="I87" s="107"/>
    </row>
    <row r="88" spans="1:9">
      <c r="A88" s="195">
        <f t="shared" si="9"/>
        <v>73</v>
      </c>
      <c r="B88" s="116" t="str">
        <f t="shared" si="7"/>
        <v>049</v>
      </c>
      <c r="C88" s="38"/>
      <c r="D88" s="256"/>
      <c r="E88" s="24"/>
      <c r="F88" s="141"/>
      <c r="G88" s="106"/>
      <c r="H88" s="85" t="str">
        <f t="shared" si="10"/>
        <v>3A</v>
      </c>
      <c r="I88" s="112"/>
    </row>
    <row r="89" spans="1:9">
      <c r="A89" s="195">
        <f t="shared" si="9"/>
        <v>74</v>
      </c>
      <c r="B89" s="116" t="str">
        <f t="shared" si="7"/>
        <v>04A</v>
      </c>
      <c r="C89" s="38"/>
      <c r="D89" s="256"/>
      <c r="E89" s="24"/>
      <c r="F89" s="141"/>
      <c r="G89" s="106"/>
      <c r="H89" s="85" t="str">
        <f t="shared" si="10"/>
        <v>02</v>
      </c>
      <c r="I89" s="112"/>
    </row>
    <row r="90" spans="1:9">
      <c r="A90" s="195">
        <f t="shared" si="9"/>
        <v>75</v>
      </c>
      <c r="B90" s="116" t="str">
        <f t="shared" si="7"/>
        <v>04B</v>
      </c>
      <c r="C90" s="38"/>
      <c r="D90" s="256"/>
      <c r="E90" s="24"/>
      <c r="F90" s="141"/>
      <c r="G90" s="106"/>
      <c r="H90" s="85" t="str">
        <f t="shared" si="10"/>
        <v>3A</v>
      </c>
      <c r="I90" s="112"/>
    </row>
    <row r="91" spans="1:9">
      <c r="A91" s="195">
        <f t="shared" si="9"/>
        <v>76</v>
      </c>
      <c r="B91" s="116" t="str">
        <f t="shared" si="7"/>
        <v>04C</v>
      </c>
      <c r="C91" s="38"/>
      <c r="D91" s="256"/>
      <c r="E91" s="24"/>
      <c r="F91" s="141"/>
      <c r="G91" s="106"/>
      <c r="H91" s="85" t="str">
        <f t="shared" si="10"/>
        <v>02</v>
      </c>
      <c r="I91" s="112"/>
    </row>
    <row r="92" spans="1:9">
      <c r="A92" s="195">
        <f t="shared" si="9"/>
        <v>77</v>
      </c>
      <c r="B92" s="116" t="str">
        <f t="shared" si="7"/>
        <v>04D</v>
      </c>
      <c r="C92" s="38"/>
      <c r="D92" s="256"/>
      <c r="E92" s="24"/>
      <c r="F92" s="141"/>
      <c r="G92" s="106"/>
      <c r="H92" s="85" t="str">
        <f t="shared" si="10"/>
        <v>3A</v>
      </c>
      <c r="I92" s="112"/>
    </row>
    <row r="93" spans="1:9">
      <c r="A93" s="195">
        <f t="shared" si="9"/>
        <v>78</v>
      </c>
      <c r="B93" s="116" t="str">
        <f t="shared" si="7"/>
        <v>04E</v>
      </c>
      <c r="C93" s="38"/>
      <c r="D93" s="256"/>
      <c r="E93" s="24"/>
      <c r="F93" s="141"/>
      <c r="G93" s="106"/>
      <c r="H93" s="85" t="str">
        <f t="shared" si="10"/>
        <v>02</v>
      </c>
      <c r="I93" s="112"/>
    </row>
    <row r="94" spans="1:9">
      <c r="A94" s="195">
        <f t="shared" si="9"/>
        <v>79</v>
      </c>
      <c r="B94" s="116" t="str">
        <f t="shared" si="7"/>
        <v>04F</v>
      </c>
      <c r="C94" s="38"/>
      <c r="D94" s="256"/>
      <c r="E94" s="24"/>
      <c r="F94" s="141"/>
      <c r="G94" s="106"/>
      <c r="H94" s="85" t="str">
        <f t="shared" si="10"/>
        <v>3A</v>
      </c>
      <c r="I94" s="112"/>
    </row>
    <row r="95" spans="1:9">
      <c r="A95" s="195">
        <f t="shared" si="9"/>
        <v>80</v>
      </c>
      <c r="B95" s="116" t="str">
        <f t="shared" si="7"/>
        <v>050</v>
      </c>
      <c r="C95" s="38"/>
      <c r="D95" s="256"/>
      <c r="E95" s="24"/>
      <c r="F95" s="141"/>
      <c r="G95" s="106"/>
      <c r="H95" s="85" t="str">
        <f t="shared" si="10"/>
        <v>02</v>
      </c>
      <c r="I95" s="112"/>
    </row>
    <row r="96" spans="1:9">
      <c r="A96" s="195">
        <f t="shared" si="9"/>
        <v>81</v>
      </c>
      <c r="B96" s="116" t="str">
        <f t="shared" si="7"/>
        <v>051</v>
      </c>
      <c r="C96" s="38"/>
      <c r="D96" s="256"/>
      <c r="E96" s="24"/>
      <c r="F96" s="141"/>
      <c r="G96" s="106"/>
      <c r="H96" s="85" t="str">
        <f t="shared" si="10"/>
        <v>3A</v>
      </c>
      <c r="I96" s="112"/>
    </row>
    <row r="97" spans="1:9">
      <c r="A97" s="195">
        <f t="shared" si="9"/>
        <v>82</v>
      </c>
      <c r="B97" s="116" t="str">
        <f t="shared" si="7"/>
        <v>052</v>
      </c>
      <c r="C97" s="38"/>
      <c r="D97" s="256"/>
      <c r="E97" s="24"/>
      <c r="F97" s="141"/>
      <c r="G97" s="106"/>
      <c r="H97" s="85" t="str">
        <f t="shared" si="10"/>
        <v>02</v>
      </c>
      <c r="I97" s="112"/>
    </row>
    <row r="98" spans="1:9">
      <c r="A98" s="195">
        <f t="shared" si="9"/>
        <v>83</v>
      </c>
      <c r="B98" s="116" t="str">
        <f t="shared" si="7"/>
        <v>053</v>
      </c>
      <c r="C98" s="38"/>
      <c r="D98" s="256"/>
      <c r="E98" s="24"/>
      <c r="F98" s="141"/>
      <c r="G98" s="106"/>
      <c r="H98" s="85" t="str">
        <f t="shared" si="10"/>
        <v>3A</v>
      </c>
      <c r="I98" s="112"/>
    </row>
    <row r="99" spans="1:9">
      <c r="A99" s="195">
        <f t="shared" si="9"/>
        <v>84</v>
      </c>
      <c r="B99" s="116" t="str">
        <f t="shared" si="7"/>
        <v>054</v>
      </c>
      <c r="C99" s="38"/>
      <c r="D99" s="256"/>
      <c r="E99" s="24"/>
      <c r="F99" s="141"/>
      <c r="G99" s="106"/>
      <c r="H99" s="85" t="str">
        <f t="shared" si="10"/>
        <v>02</v>
      </c>
      <c r="I99" s="112"/>
    </row>
    <row r="100" spans="1:9">
      <c r="A100" s="195">
        <f t="shared" si="9"/>
        <v>85</v>
      </c>
      <c r="B100" s="116" t="str">
        <f t="shared" si="7"/>
        <v>055</v>
      </c>
      <c r="C100" s="38"/>
      <c r="D100" s="256"/>
      <c r="E100" s="24"/>
      <c r="F100" s="141"/>
      <c r="G100" s="106"/>
      <c r="H100" s="85" t="str">
        <f t="shared" si="10"/>
        <v>3A</v>
      </c>
      <c r="I100" s="112"/>
    </row>
    <row r="101" spans="1:9">
      <c r="A101" s="195">
        <f t="shared" si="9"/>
        <v>86</v>
      </c>
      <c r="B101" s="116" t="str">
        <f t="shared" si="7"/>
        <v>056</v>
      </c>
      <c r="C101" s="38"/>
      <c r="D101" s="256"/>
      <c r="E101" s="23" t="s">
        <v>87</v>
      </c>
      <c r="F101" s="26" t="s">
        <v>129</v>
      </c>
      <c r="G101" s="202" t="s">
        <v>135</v>
      </c>
      <c r="H101" s="85" t="str">
        <f t="shared" ref="H101:H114" si="11">INDEX(StaticOffsetTbl_Y2,(ROW()-ROW($H$101)+1))</f>
        <v>02</v>
      </c>
      <c r="I101" s="107"/>
    </row>
    <row r="102" spans="1:9">
      <c r="A102" s="195">
        <f t="shared" si="9"/>
        <v>87</v>
      </c>
      <c r="B102" s="116" t="str">
        <f t="shared" si="7"/>
        <v>057</v>
      </c>
      <c r="C102" s="38"/>
      <c r="D102" s="256"/>
      <c r="E102" s="24"/>
      <c r="F102" s="141"/>
      <c r="G102" s="106"/>
      <c r="H102" s="85" t="str">
        <f t="shared" si="11"/>
        <v>80</v>
      </c>
      <c r="I102" s="112"/>
    </row>
    <row r="103" spans="1:9">
      <c r="A103" s="195">
        <f t="shared" si="9"/>
        <v>88</v>
      </c>
      <c r="B103" s="116" t="str">
        <f t="shared" si="7"/>
        <v>058</v>
      </c>
      <c r="C103" s="38"/>
      <c r="D103" s="256"/>
      <c r="E103" s="24"/>
      <c r="F103" s="141"/>
      <c r="G103" s="106"/>
      <c r="H103" s="85" t="str">
        <f t="shared" si="11"/>
        <v>02</v>
      </c>
      <c r="I103" s="112"/>
    </row>
    <row r="104" spans="1:9">
      <c r="A104" s="195">
        <f t="shared" si="9"/>
        <v>89</v>
      </c>
      <c r="B104" s="116" t="str">
        <f t="shared" si="7"/>
        <v>059</v>
      </c>
      <c r="C104" s="38"/>
      <c r="D104" s="256"/>
      <c r="E104" s="24"/>
      <c r="F104" s="141"/>
      <c r="G104" s="106"/>
      <c r="H104" s="85" t="str">
        <f t="shared" si="11"/>
        <v>80</v>
      </c>
      <c r="I104" s="112"/>
    </row>
    <row r="105" spans="1:9">
      <c r="A105" s="195">
        <f t="shared" si="9"/>
        <v>90</v>
      </c>
      <c r="B105" s="116" t="str">
        <f t="shared" si="7"/>
        <v>05A</v>
      </c>
      <c r="C105" s="38"/>
      <c r="D105" s="256"/>
      <c r="E105" s="24"/>
      <c r="F105" s="141"/>
      <c r="G105" s="106"/>
      <c r="H105" s="85" t="str">
        <f t="shared" si="11"/>
        <v>02</v>
      </c>
      <c r="I105" s="112"/>
    </row>
    <row r="106" spans="1:9">
      <c r="A106" s="195">
        <f t="shared" si="9"/>
        <v>91</v>
      </c>
      <c r="B106" s="116" t="str">
        <f t="shared" si="7"/>
        <v>05B</v>
      </c>
      <c r="C106" s="38"/>
      <c r="D106" s="256"/>
      <c r="E106" s="24"/>
      <c r="F106" s="141"/>
      <c r="G106" s="106"/>
      <c r="H106" s="85" t="str">
        <f t="shared" si="11"/>
        <v>80</v>
      </c>
      <c r="I106" s="112"/>
    </row>
    <row r="107" spans="1:9">
      <c r="A107" s="195">
        <f t="shared" si="9"/>
        <v>92</v>
      </c>
      <c r="B107" s="116" t="str">
        <f t="shared" si="7"/>
        <v>05C</v>
      </c>
      <c r="C107" s="38"/>
      <c r="D107" s="256"/>
      <c r="E107" s="24"/>
      <c r="F107" s="141"/>
      <c r="G107" s="106"/>
      <c r="H107" s="85" t="str">
        <f t="shared" si="11"/>
        <v>02</v>
      </c>
      <c r="I107" s="112"/>
    </row>
    <row r="108" spans="1:9">
      <c r="A108" s="195">
        <f t="shared" si="9"/>
        <v>93</v>
      </c>
      <c r="B108" s="116" t="str">
        <f t="shared" si="7"/>
        <v>05D</v>
      </c>
      <c r="C108" s="38"/>
      <c r="D108" s="256"/>
      <c r="E108" s="24"/>
      <c r="F108" s="141"/>
      <c r="G108" s="106"/>
      <c r="H108" s="85" t="str">
        <f t="shared" si="11"/>
        <v>80</v>
      </c>
      <c r="I108" s="112"/>
    </row>
    <row r="109" spans="1:9">
      <c r="A109" s="195">
        <f t="shared" si="9"/>
        <v>94</v>
      </c>
      <c r="B109" s="116" t="str">
        <f t="shared" si="7"/>
        <v>05E</v>
      </c>
      <c r="C109" s="38"/>
      <c r="D109" s="256"/>
      <c r="E109" s="24"/>
      <c r="F109" s="141"/>
      <c r="G109" s="106"/>
      <c r="H109" s="85" t="str">
        <f t="shared" si="11"/>
        <v>02</v>
      </c>
      <c r="I109" s="112"/>
    </row>
    <row r="110" spans="1:9">
      <c r="A110" s="195">
        <f t="shared" si="9"/>
        <v>95</v>
      </c>
      <c r="B110" s="116" t="str">
        <f t="shared" si="7"/>
        <v>05F</v>
      </c>
      <c r="C110" s="38"/>
      <c r="D110" s="256"/>
      <c r="E110" s="24"/>
      <c r="F110" s="141"/>
      <c r="G110" s="106"/>
      <c r="H110" s="85" t="str">
        <f t="shared" si="11"/>
        <v>80</v>
      </c>
      <c r="I110" s="112"/>
    </row>
    <row r="111" spans="1:9">
      <c r="A111" s="195">
        <f t="shared" si="9"/>
        <v>96</v>
      </c>
      <c r="B111" s="116" t="str">
        <f t="shared" si="7"/>
        <v>060</v>
      </c>
      <c r="C111" s="38"/>
      <c r="D111" s="256"/>
      <c r="E111" s="24"/>
      <c r="F111" s="141"/>
      <c r="G111" s="106"/>
      <c r="H111" s="85" t="str">
        <f t="shared" si="11"/>
        <v>02</v>
      </c>
      <c r="I111" s="112"/>
    </row>
    <row r="112" spans="1:9">
      <c r="A112" s="195">
        <f t="shared" si="9"/>
        <v>97</v>
      </c>
      <c r="B112" s="116" t="str">
        <f t="shared" si="7"/>
        <v>061</v>
      </c>
      <c r="C112" s="38"/>
      <c r="D112" s="256"/>
      <c r="E112" s="24"/>
      <c r="F112" s="141"/>
      <c r="G112" s="106"/>
      <c r="H112" s="85" t="str">
        <f t="shared" si="11"/>
        <v>80</v>
      </c>
      <c r="I112" s="112"/>
    </row>
    <row r="113" spans="1:9">
      <c r="A113" s="195">
        <f t="shared" si="9"/>
        <v>98</v>
      </c>
      <c r="B113" s="116" t="str">
        <f t="shared" si="7"/>
        <v>062</v>
      </c>
      <c r="C113" s="38"/>
      <c r="D113" s="256"/>
      <c r="E113" s="24"/>
      <c r="F113" s="141"/>
      <c r="G113" s="106"/>
      <c r="H113" s="85" t="str">
        <f t="shared" si="11"/>
        <v>02</v>
      </c>
      <c r="I113" s="112"/>
    </row>
    <row r="114" spans="1:9">
      <c r="A114" s="195">
        <f t="shared" si="9"/>
        <v>99</v>
      </c>
      <c r="B114" s="116" t="str">
        <f t="shared" si="7"/>
        <v>063</v>
      </c>
      <c r="C114" s="38"/>
      <c r="D114" s="256"/>
      <c r="E114" s="24"/>
      <c r="F114" s="141"/>
      <c r="G114" s="106"/>
      <c r="H114" s="85" t="str">
        <f t="shared" si="11"/>
        <v>80</v>
      </c>
      <c r="I114" s="112"/>
    </row>
    <row r="115" spans="1:9">
      <c r="A115" s="195">
        <f t="shared" si="9"/>
        <v>100</v>
      </c>
      <c r="B115" s="116" t="str">
        <f t="shared" si="7"/>
        <v>064</v>
      </c>
      <c r="C115" s="38"/>
      <c r="D115" s="256"/>
      <c r="E115" s="23" t="s">
        <v>87</v>
      </c>
      <c r="F115" s="26" t="s">
        <v>130</v>
      </c>
      <c r="G115" s="202" t="s">
        <v>136</v>
      </c>
      <c r="H115" s="85" t="str">
        <f t="shared" ref="H115:H128" si="12">INDEX(StaticOffsetTbl_Y3,(ROW()-ROW($H$115)+1))</f>
        <v>02</v>
      </c>
      <c r="I115" s="107"/>
    </row>
    <row r="116" spans="1:9">
      <c r="A116" s="195">
        <f t="shared" si="9"/>
        <v>101</v>
      </c>
      <c r="B116" s="116" t="str">
        <f t="shared" si="7"/>
        <v>065</v>
      </c>
      <c r="C116" s="38"/>
      <c r="D116" s="256"/>
      <c r="E116" s="24"/>
      <c r="F116" s="141"/>
      <c r="G116" s="106"/>
      <c r="H116" s="85" t="str">
        <f t="shared" si="12"/>
        <v>8A</v>
      </c>
      <c r="I116" s="112"/>
    </row>
    <row r="117" spans="1:9">
      <c r="A117" s="195">
        <f t="shared" si="9"/>
        <v>102</v>
      </c>
      <c r="B117" s="116" t="str">
        <f t="shared" si="7"/>
        <v>066</v>
      </c>
      <c r="C117" s="38"/>
      <c r="D117" s="256"/>
      <c r="E117" s="24"/>
      <c r="F117" s="141"/>
      <c r="G117" s="106"/>
      <c r="H117" s="85" t="str">
        <f t="shared" si="12"/>
        <v>02</v>
      </c>
      <c r="I117" s="112"/>
    </row>
    <row r="118" spans="1:9">
      <c r="A118" s="195">
        <f t="shared" si="9"/>
        <v>103</v>
      </c>
      <c r="B118" s="116" t="str">
        <f t="shared" si="7"/>
        <v>067</v>
      </c>
      <c r="C118" s="38"/>
      <c r="D118" s="256"/>
      <c r="E118" s="24"/>
      <c r="F118" s="141"/>
      <c r="G118" s="106"/>
      <c r="H118" s="85" t="str">
        <f t="shared" si="12"/>
        <v>8A</v>
      </c>
      <c r="I118" s="112"/>
    </row>
    <row r="119" spans="1:9">
      <c r="A119" s="195">
        <f t="shared" si="9"/>
        <v>104</v>
      </c>
      <c r="B119" s="116" t="str">
        <f t="shared" si="7"/>
        <v>068</v>
      </c>
      <c r="C119" s="38"/>
      <c r="D119" s="256"/>
      <c r="E119" s="24"/>
      <c r="F119" s="141"/>
      <c r="G119" s="106"/>
      <c r="H119" s="85" t="str">
        <f t="shared" si="12"/>
        <v>02</v>
      </c>
      <c r="I119" s="112"/>
    </row>
    <row r="120" spans="1:9">
      <c r="A120" s="195">
        <f t="shared" si="9"/>
        <v>105</v>
      </c>
      <c r="B120" s="116" t="str">
        <f t="shared" si="7"/>
        <v>069</v>
      </c>
      <c r="C120" s="38"/>
      <c r="D120" s="256"/>
      <c r="E120" s="24"/>
      <c r="F120" s="141"/>
      <c r="G120" s="106"/>
      <c r="H120" s="85" t="str">
        <f t="shared" si="12"/>
        <v>8A</v>
      </c>
      <c r="I120" s="112"/>
    </row>
    <row r="121" spans="1:9">
      <c r="A121" s="195">
        <f t="shared" si="9"/>
        <v>106</v>
      </c>
      <c r="B121" s="116" t="str">
        <f t="shared" si="7"/>
        <v>06A</v>
      </c>
      <c r="C121" s="38"/>
      <c r="D121" s="256"/>
      <c r="E121" s="24"/>
      <c r="F121" s="141"/>
      <c r="G121" s="106"/>
      <c r="H121" s="85" t="str">
        <f t="shared" si="12"/>
        <v>02</v>
      </c>
      <c r="I121" s="112"/>
    </row>
    <row r="122" spans="1:9">
      <c r="A122" s="195">
        <f t="shared" si="9"/>
        <v>107</v>
      </c>
      <c r="B122" s="116" t="str">
        <f t="shared" si="7"/>
        <v>06B</v>
      </c>
      <c r="C122" s="38"/>
      <c r="D122" s="256"/>
      <c r="E122" s="24"/>
      <c r="F122" s="141"/>
      <c r="G122" s="106"/>
      <c r="H122" s="85" t="str">
        <f t="shared" si="12"/>
        <v>8A</v>
      </c>
      <c r="I122" s="112"/>
    </row>
    <row r="123" spans="1:9">
      <c r="A123" s="195">
        <f t="shared" si="9"/>
        <v>108</v>
      </c>
      <c r="B123" s="116" t="str">
        <f t="shared" si="7"/>
        <v>06C</v>
      </c>
      <c r="C123" s="38"/>
      <c r="D123" s="256"/>
      <c r="E123" s="24"/>
      <c r="F123" s="141"/>
      <c r="G123" s="106"/>
      <c r="H123" s="85" t="str">
        <f t="shared" si="12"/>
        <v>02</v>
      </c>
      <c r="I123" s="112"/>
    </row>
    <row r="124" spans="1:9">
      <c r="A124" s="195">
        <f t="shared" si="9"/>
        <v>109</v>
      </c>
      <c r="B124" s="116" t="str">
        <f t="shared" si="7"/>
        <v>06D</v>
      </c>
      <c r="C124" s="38"/>
      <c r="D124" s="256"/>
      <c r="E124" s="24"/>
      <c r="F124" s="141"/>
      <c r="G124" s="106"/>
      <c r="H124" s="85" t="str">
        <f t="shared" si="12"/>
        <v>8A</v>
      </c>
      <c r="I124" s="112"/>
    </row>
    <row r="125" spans="1:9">
      <c r="A125" s="195">
        <f t="shared" si="9"/>
        <v>110</v>
      </c>
      <c r="B125" s="116" t="str">
        <f t="shared" si="7"/>
        <v>06E</v>
      </c>
      <c r="C125" s="38"/>
      <c r="D125" s="256"/>
      <c r="E125" s="24"/>
      <c r="F125" s="141"/>
      <c r="G125" s="106"/>
      <c r="H125" s="85" t="str">
        <f t="shared" si="12"/>
        <v>02</v>
      </c>
      <c r="I125" s="112"/>
    </row>
    <row r="126" spans="1:9">
      <c r="A126" s="195">
        <f t="shared" si="9"/>
        <v>111</v>
      </c>
      <c r="B126" s="116" t="str">
        <f t="shared" si="7"/>
        <v>06F</v>
      </c>
      <c r="C126" s="38"/>
      <c r="D126" s="256"/>
      <c r="E126" s="24"/>
      <c r="F126" s="141"/>
      <c r="G126" s="106"/>
      <c r="H126" s="85" t="str">
        <f t="shared" si="12"/>
        <v>8A</v>
      </c>
      <c r="I126" s="112"/>
    </row>
    <row r="127" spans="1:9">
      <c r="A127" s="195">
        <f t="shared" ref="A127:A154" si="13">A126+(ROW()-ROW(A126))</f>
        <v>112</v>
      </c>
      <c r="B127" s="116" t="str">
        <f t="shared" ref="B127:B128" si="14">DEC2HEX(A127,3)</f>
        <v>070</v>
      </c>
      <c r="C127" s="38"/>
      <c r="D127" s="256"/>
      <c r="E127" s="24"/>
      <c r="F127" s="141"/>
      <c r="G127" s="106"/>
      <c r="H127" s="85" t="str">
        <f t="shared" si="12"/>
        <v>02</v>
      </c>
      <c r="I127" s="112"/>
    </row>
    <row r="128" spans="1:9">
      <c r="A128" s="195">
        <f t="shared" si="13"/>
        <v>113</v>
      </c>
      <c r="B128" s="116" t="str">
        <f t="shared" si="14"/>
        <v>071</v>
      </c>
      <c r="C128" s="38"/>
      <c r="D128" s="256"/>
      <c r="E128" s="24"/>
      <c r="F128" s="141"/>
      <c r="G128" s="106"/>
      <c r="H128" s="85" t="str">
        <f t="shared" si="12"/>
        <v>8A</v>
      </c>
      <c r="I128" s="112"/>
    </row>
    <row r="129" spans="1:9">
      <c r="A129" s="195">
        <f t="shared" si="13"/>
        <v>114</v>
      </c>
      <c r="B129" s="116" t="str">
        <f t="shared" ref="B129:B136" si="15">DEC2HEX(A129,3)</f>
        <v>072</v>
      </c>
      <c r="C129" s="38"/>
      <c r="D129" s="256"/>
      <c r="E129" s="23" t="s">
        <v>87</v>
      </c>
      <c r="F129" s="26" t="s">
        <v>131</v>
      </c>
      <c r="G129" s="202" t="s">
        <v>132</v>
      </c>
      <c r="H129" s="85" t="str">
        <f t="shared" ref="H129:H136" si="16">INDEX(AmbientTemp,(ROW()-ROW($H$129)+1))</f>
        <v>00</v>
      </c>
      <c r="I129" s="107"/>
    </row>
    <row r="130" spans="1:9">
      <c r="A130" s="195">
        <f t="shared" si="13"/>
        <v>115</v>
      </c>
      <c r="B130" s="116" t="str">
        <f t="shared" si="15"/>
        <v>073</v>
      </c>
      <c r="C130" s="38"/>
      <c r="D130" s="256"/>
      <c r="E130" s="24"/>
      <c r="F130" s="141"/>
      <c r="G130" s="106">
        <v>4</v>
      </c>
      <c r="H130" s="85" t="str">
        <f t="shared" si="16"/>
        <v>FA</v>
      </c>
      <c r="I130" s="112"/>
    </row>
    <row r="131" spans="1:9">
      <c r="A131" s="195">
        <f t="shared" si="13"/>
        <v>116</v>
      </c>
      <c r="B131" s="116" t="str">
        <f t="shared" si="15"/>
        <v>074</v>
      </c>
      <c r="C131" s="38"/>
      <c r="D131" s="256"/>
      <c r="E131" s="24"/>
      <c r="F131" s="141"/>
      <c r="G131" s="106"/>
      <c r="H131" s="85" t="str">
        <f t="shared" si="16"/>
        <v>01</v>
      </c>
      <c r="I131" s="112"/>
    </row>
    <row r="132" spans="1:9">
      <c r="A132" s="195">
        <f t="shared" si="13"/>
        <v>117</v>
      </c>
      <c r="B132" s="116" t="str">
        <f t="shared" si="15"/>
        <v>075</v>
      </c>
      <c r="C132" s="38"/>
      <c r="D132" s="256"/>
      <c r="E132" s="24"/>
      <c r="F132" s="141"/>
      <c r="G132" s="106"/>
      <c r="H132" s="85" t="str">
        <f t="shared" si="16"/>
        <v>C2</v>
      </c>
      <c r="I132" s="112"/>
    </row>
    <row r="133" spans="1:9">
      <c r="A133" s="195">
        <f t="shared" si="13"/>
        <v>118</v>
      </c>
      <c r="B133" s="116" t="str">
        <f t="shared" ref="B133:B134" si="17">DEC2HEX(A133,3)</f>
        <v>076</v>
      </c>
      <c r="C133" s="38"/>
      <c r="D133" s="256"/>
      <c r="E133" s="24"/>
      <c r="F133" s="141"/>
      <c r="G133" s="106"/>
      <c r="H133" s="85" t="str">
        <f t="shared" si="16"/>
        <v>02</v>
      </c>
      <c r="I133" s="112"/>
    </row>
    <row r="134" spans="1:9">
      <c r="A134" s="195">
        <f t="shared" si="13"/>
        <v>119</v>
      </c>
      <c r="B134" s="116" t="str">
        <f t="shared" si="17"/>
        <v>077</v>
      </c>
      <c r="C134" s="38"/>
      <c r="D134" s="256"/>
      <c r="E134" s="24"/>
      <c r="F134" s="141"/>
      <c r="G134" s="106"/>
      <c r="H134" s="85" t="str">
        <f t="shared" si="16"/>
        <v>8A</v>
      </c>
      <c r="I134" s="112"/>
    </row>
    <row r="135" spans="1:9">
      <c r="A135" s="195">
        <f t="shared" si="13"/>
        <v>120</v>
      </c>
      <c r="B135" s="116" t="str">
        <f t="shared" si="15"/>
        <v>078</v>
      </c>
      <c r="C135" s="38"/>
      <c r="D135" s="256"/>
      <c r="E135" s="24"/>
      <c r="F135" s="141"/>
      <c r="G135" s="106"/>
      <c r="H135" s="85" t="str">
        <f t="shared" si="16"/>
        <v>03</v>
      </c>
      <c r="I135" s="112"/>
    </row>
    <row r="136" spans="1:9">
      <c r="A136" s="195">
        <f t="shared" si="13"/>
        <v>121</v>
      </c>
      <c r="B136" s="116" t="str">
        <f t="shared" si="15"/>
        <v>079</v>
      </c>
      <c r="C136" s="38"/>
      <c r="D136" s="293"/>
      <c r="E136" s="22"/>
      <c r="F136" s="139"/>
      <c r="G136" s="140"/>
      <c r="H136" s="84" t="str">
        <f t="shared" si="16"/>
        <v>20</v>
      </c>
      <c r="I136" s="124"/>
    </row>
    <row r="137" spans="1:9">
      <c r="A137" s="195">
        <f t="shared" si="13"/>
        <v>122</v>
      </c>
      <c r="B137" s="116" t="str">
        <f t="shared" ref="B137:B150" si="18">DEC2HEX(A137,3)</f>
        <v>07A</v>
      </c>
      <c r="C137" s="38"/>
      <c r="D137" s="38"/>
      <c r="E137" s="24" t="s">
        <v>88</v>
      </c>
      <c r="F137" s="27" t="s">
        <v>159</v>
      </c>
      <c r="G137" s="321" t="s">
        <v>160</v>
      </c>
      <c r="H137" s="69" t="str">
        <f>INDEX(DynamicMaxTbl_X,(ROW()-ROW($H$137)+1))</f>
        <v>00</v>
      </c>
      <c r="I137" s="112"/>
    </row>
    <row r="138" spans="1:9">
      <c r="A138" s="195">
        <f t="shared" si="13"/>
        <v>123</v>
      </c>
      <c r="B138" s="116" t="str">
        <f t="shared" si="18"/>
        <v>07B</v>
      </c>
      <c r="C138" s="38"/>
      <c r="D138" s="38"/>
      <c r="E138" s="24"/>
      <c r="F138" s="141"/>
      <c r="G138" s="106">
        <v>7</v>
      </c>
      <c r="H138" s="85" t="str">
        <f t="shared" ref="H138:H150" si="19">INDEX(DynamicMaxTbl_X,(ROW()-ROW($H$137)+1))</f>
        <v>C8</v>
      </c>
      <c r="I138" s="112"/>
    </row>
    <row r="139" spans="1:9">
      <c r="A139" s="195">
        <f t="shared" si="13"/>
        <v>124</v>
      </c>
      <c r="B139" s="116" t="str">
        <f t="shared" si="18"/>
        <v>07C</v>
      </c>
      <c r="C139" s="38"/>
      <c r="D139" s="38"/>
      <c r="E139" s="24"/>
      <c r="F139" s="141"/>
      <c r="G139" s="106"/>
      <c r="H139" s="85" t="str">
        <f t="shared" si="19"/>
        <v>01</v>
      </c>
      <c r="I139" s="112"/>
    </row>
    <row r="140" spans="1:9">
      <c r="A140" s="195">
        <f t="shared" si="13"/>
        <v>125</v>
      </c>
      <c r="B140" s="116" t="str">
        <f t="shared" si="18"/>
        <v>07D</v>
      </c>
      <c r="C140" s="38"/>
      <c r="D140" s="38"/>
      <c r="E140" s="24"/>
      <c r="F140" s="141"/>
      <c r="G140" s="106"/>
      <c r="H140" s="85" t="str">
        <f t="shared" si="19"/>
        <v>2C</v>
      </c>
      <c r="I140" s="112"/>
    </row>
    <row r="141" spans="1:9">
      <c r="A141" s="195">
        <f t="shared" si="13"/>
        <v>126</v>
      </c>
      <c r="B141" s="116" t="str">
        <f t="shared" si="18"/>
        <v>07E</v>
      </c>
      <c r="C141" s="38"/>
      <c r="D141" s="38"/>
      <c r="E141" s="24"/>
      <c r="F141" s="141"/>
      <c r="G141" s="106"/>
      <c r="H141" s="85" t="str">
        <f t="shared" si="19"/>
        <v>01</v>
      </c>
      <c r="I141" s="112"/>
    </row>
    <row r="142" spans="1:9">
      <c r="A142" s="195">
        <f t="shared" si="13"/>
        <v>127</v>
      </c>
      <c r="B142" s="116" t="str">
        <f t="shared" si="18"/>
        <v>07F</v>
      </c>
      <c r="C142" s="38"/>
      <c r="D142" s="38"/>
      <c r="E142" s="24"/>
      <c r="F142" s="141"/>
      <c r="G142" s="106"/>
      <c r="H142" s="85" t="str">
        <f t="shared" si="19"/>
        <v>90</v>
      </c>
      <c r="I142" s="112"/>
    </row>
    <row r="143" spans="1:9">
      <c r="A143" s="195">
        <f t="shared" si="13"/>
        <v>128</v>
      </c>
      <c r="B143" s="116" t="str">
        <f t="shared" si="18"/>
        <v>080</v>
      </c>
      <c r="C143" s="38"/>
      <c r="D143" s="38"/>
      <c r="E143" s="24"/>
      <c r="F143" s="141"/>
      <c r="G143" s="106"/>
      <c r="H143" s="85" t="str">
        <f t="shared" si="19"/>
        <v>01</v>
      </c>
      <c r="I143" s="112"/>
    </row>
    <row r="144" spans="1:9">
      <c r="A144" s="195">
        <f t="shared" si="13"/>
        <v>129</v>
      </c>
      <c r="B144" s="116" t="str">
        <f t="shared" si="18"/>
        <v>081</v>
      </c>
      <c r="C144" s="38"/>
      <c r="D144" s="38"/>
      <c r="E144" s="24"/>
      <c r="F144" s="141"/>
      <c r="G144" s="106"/>
      <c r="H144" s="85" t="str">
        <f t="shared" si="19"/>
        <v>F4</v>
      </c>
      <c r="I144" s="112"/>
    </row>
    <row r="145" spans="1:9">
      <c r="A145" s="195">
        <f t="shared" si="13"/>
        <v>130</v>
      </c>
      <c r="B145" s="116" t="str">
        <f t="shared" si="18"/>
        <v>082</v>
      </c>
      <c r="C145" s="38"/>
      <c r="D145" s="38"/>
      <c r="E145" s="24"/>
      <c r="F145" s="141"/>
      <c r="G145" s="106"/>
      <c r="H145" s="85" t="str">
        <f t="shared" si="19"/>
        <v>02</v>
      </c>
      <c r="I145" s="112"/>
    </row>
    <row r="146" spans="1:9">
      <c r="A146" s="195">
        <f t="shared" si="13"/>
        <v>131</v>
      </c>
      <c r="B146" s="116" t="str">
        <f t="shared" si="18"/>
        <v>083</v>
      </c>
      <c r="C146" s="38"/>
      <c r="D146" s="38"/>
      <c r="E146" s="24"/>
      <c r="F146" s="141"/>
      <c r="G146" s="106"/>
      <c r="H146" s="85" t="str">
        <f t="shared" si="19"/>
        <v>58</v>
      </c>
      <c r="I146" s="112"/>
    </row>
    <row r="147" spans="1:9">
      <c r="A147" s="195">
        <f t="shared" si="13"/>
        <v>132</v>
      </c>
      <c r="B147" s="116" t="str">
        <f t="shared" si="18"/>
        <v>084</v>
      </c>
      <c r="C147" s="38"/>
      <c r="D147" s="38"/>
      <c r="E147" s="24"/>
      <c r="F147" s="141"/>
      <c r="G147" s="106"/>
      <c r="H147" s="85" t="str">
        <f t="shared" si="19"/>
        <v>02</v>
      </c>
      <c r="I147" s="112"/>
    </row>
    <row r="148" spans="1:9">
      <c r="A148" s="195">
        <f t="shared" si="13"/>
        <v>133</v>
      </c>
      <c r="B148" s="116" t="str">
        <f t="shared" si="18"/>
        <v>085</v>
      </c>
      <c r="C148" s="38"/>
      <c r="D148" s="38"/>
      <c r="E148" s="24"/>
      <c r="F148" s="141"/>
      <c r="G148" s="106"/>
      <c r="H148" s="85" t="str">
        <f t="shared" si="19"/>
        <v>BC</v>
      </c>
      <c r="I148" s="112"/>
    </row>
    <row r="149" spans="1:9">
      <c r="A149" s="195">
        <f t="shared" si="13"/>
        <v>134</v>
      </c>
      <c r="B149" s="116" t="str">
        <f t="shared" si="18"/>
        <v>086</v>
      </c>
      <c r="C149" s="38"/>
      <c r="D149" s="38"/>
      <c r="E149" s="24"/>
      <c r="F149" s="141"/>
      <c r="G149" s="106"/>
      <c r="H149" s="85" t="str">
        <f t="shared" si="19"/>
        <v>03</v>
      </c>
      <c r="I149" s="112"/>
    </row>
    <row r="150" spans="1:9">
      <c r="A150" s="195">
        <f t="shared" si="13"/>
        <v>135</v>
      </c>
      <c r="B150" s="116" t="str">
        <f t="shared" si="18"/>
        <v>087</v>
      </c>
      <c r="C150" s="38"/>
      <c r="D150" s="38"/>
      <c r="E150" s="24"/>
      <c r="F150" s="141"/>
      <c r="G150" s="106"/>
      <c r="H150" s="85" t="str">
        <f t="shared" si="19"/>
        <v>20</v>
      </c>
      <c r="I150" s="112"/>
    </row>
    <row r="151" spans="1:9">
      <c r="A151" s="195">
        <f t="shared" si="13"/>
        <v>136</v>
      </c>
      <c r="B151" s="116" t="str">
        <f t="shared" ref="B151:B214" si="20">DEC2HEX(A151,3)</f>
        <v>088</v>
      </c>
      <c r="C151" s="38"/>
      <c r="D151" s="38"/>
      <c r="E151" s="23" t="s">
        <v>88</v>
      </c>
      <c r="F151" s="26" t="s">
        <v>161</v>
      </c>
      <c r="G151" s="202" t="s">
        <v>162</v>
      </c>
      <c r="H151" s="85" t="str">
        <f t="shared" ref="H151:H164" si="21">INDEX(DynamicMaxTbl_Y,(ROW()-ROW($H$151)+1))</f>
        <v>00</v>
      </c>
      <c r="I151" s="112"/>
    </row>
    <row r="152" spans="1:9">
      <c r="A152" s="195">
        <f t="shared" si="13"/>
        <v>137</v>
      </c>
      <c r="B152" s="116" t="str">
        <f t="shared" si="20"/>
        <v>089</v>
      </c>
      <c r="C152" s="38"/>
      <c r="D152" s="38"/>
      <c r="E152" s="24"/>
      <c r="F152" s="141"/>
      <c r="G152" s="106"/>
      <c r="H152" s="85" t="str">
        <f t="shared" si="21"/>
        <v>64</v>
      </c>
      <c r="I152" s="112"/>
    </row>
    <row r="153" spans="1:9">
      <c r="A153" s="195">
        <f t="shared" si="13"/>
        <v>138</v>
      </c>
      <c r="B153" s="116" t="str">
        <f t="shared" si="20"/>
        <v>08A</v>
      </c>
      <c r="C153" s="38"/>
      <c r="D153" s="38"/>
      <c r="E153" s="24"/>
      <c r="F153" s="141"/>
      <c r="G153" s="106"/>
      <c r="H153" s="85" t="str">
        <f t="shared" si="21"/>
        <v>00</v>
      </c>
      <c r="I153" s="112"/>
    </row>
    <row r="154" spans="1:9">
      <c r="A154" s="195">
        <f t="shared" si="13"/>
        <v>139</v>
      </c>
      <c r="B154" s="116" t="str">
        <f t="shared" si="20"/>
        <v>08B</v>
      </c>
      <c r="C154" s="38"/>
      <c r="D154" s="38"/>
      <c r="E154" s="24"/>
      <c r="F154" s="141"/>
      <c r="G154" s="106"/>
      <c r="H154" s="85" t="str">
        <f t="shared" si="21"/>
        <v>64</v>
      </c>
      <c r="I154" s="112"/>
    </row>
    <row r="155" spans="1:9">
      <c r="A155" s="195">
        <f t="shared" ref="A155:A218" si="22">A154+(ROW()-ROW(A154))</f>
        <v>140</v>
      </c>
      <c r="B155" s="116" t="str">
        <f t="shared" si="20"/>
        <v>08C</v>
      </c>
      <c r="C155" s="38"/>
      <c r="D155" s="38"/>
      <c r="E155" s="24"/>
      <c r="F155" s="141"/>
      <c r="G155" s="106"/>
      <c r="H155" s="85" t="str">
        <f t="shared" si="21"/>
        <v>00</v>
      </c>
      <c r="I155" s="112"/>
    </row>
    <row r="156" spans="1:9">
      <c r="A156" s="195">
        <f t="shared" si="22"/>
        <v>141</v>
      </c>
      <c r="B156" s="116" t="str">
        <f t="shared" si="20"/>
        <v>08D</v>
      </c>
      <c r="C156" s="38"/>
      <c r="D156" s="38"/>
      <c r="E156" s="24"/>
      <c r="F156" s="141"/>
      <c r="G156" s="106"/>
      <c r="H156" s="85" t="str">
        <f t="shared" si="21"/>
        <v>64</v>
      </c>
      <c r="I156" s="112"/>
    </row>
    <row r="157" spans="1:9">
      <c r="A157" s="195">
        <f t="shared" si="22"/>
        <v>142</v>
      </c>
      <c r="B157" s="116" t="str">
        <f t="shared" si="20"/>
        <v>08E</v>
      </c>
      <c r="C157" s="38"/>
      <c r="D157" s="38"/>
      <c r="E157" s="24"/>
      <c r="F157" s="141"/>
      <c r="G157" s="106"/>
      <c r="H157" s="85" t="str">
        <f t="shared" si="21"/>
        <v>00</v>
      </c>
      <c r="I157" s="112"/>
    </row>
    <row r="158" spans="1:9">
      <c r="A158" s="195">
        <f t="shared" si="22"/>
        <v>143</v>
      </c>
      <c r="B158" s="116" t="str">
        <f t="shared" si="20"/>
        <v>08F</v>
      </c>
      <c r="C158" s="38"/>
      <c r="D158" s="256"/>
      <c r="E158" s="24"/>
      <c r="F158" s="141"/>
      <c r="G158" s="106"/>
      <c r="H158" s="85" t="str">
        <f t="shared" si="21"/>
        <v>64</v>
      </c>
      <c r="I158" s="112"/>
    </row>
    <row r="159" spans="1:9">
      <c r="A159" s="195">
        <f t="shared" si="22"/>
        <v>144</v>
      </c>
      <c r="B159" s="116" t="str">
        <f t="shared" si="20"/>
        <v>090</v>
      </c>
      <c r="C159" s="38"/>
      <c r="D159" s="256"/>
      <c r="E159" s="24"/>
      <c r="F159" s="141"/>
      <c r="G159" s="106"/>
      <c r="H159" s="85" t="str">
        <f t="shared" si="21"/>
        <v>00</v>
      </c>
      <c r="I159" s="112"/>
    </row>
    <row r="160" spans="1:9">
      <c r="A160" s="195">
        <f t="shared" si="22"/>
        <v>145</v>
      </c>
      <c r="B160" s="116" t="str">
        <f t="shared" si="20"/>
        <v>091</v>
      </c>
      <c r="C160" s="38"/>
      <c r="D160" s="256"/>
      <c r="E160" s="24"/>
      <c r="F160" s="141"/>
      <c r="G160" s="106"/>
      <c r="H160" s="85" t="str">
        <f t="shared" si="21"/>
        <v>64</v>
      </c>
      <c r="I160" s="112"/>
    </row>
    <row r="161" spans="1:9">
      <c r="A161" s="195">
        <f t="shared" si="22"/>
        <v>146</v>
      </c>
      <c r="B161" s="116" t="str">
        <f t="shared" si="20"/>
        <v>092</v>
      </c>
      <c r="C161" s="38"/>
      <c r="D161" s="256"/>
      <c r="E161" s="24"/>
      <c r="F161" s="141"/>
      <c r="G161" s="106"/>
      <c r="H161" s="85" t="str">
        <f t="shared" si="21"/>
        <v>00</v>
      </c>
      <c r="I161" s="112"/>
    </row>
    <row r="162" spans="1:9">
      <c r="A162" s="195">
        <f t="shared" si="22"/>
        <v>147</v>
      </c>
      <c r="B162" s="116" t="str">
        <f t="shared" si="20"/>
        <v>093</v>
      </c>
      <c r="C162" s="38"/>
      <c r="D162" s="256"/>
      <c r="E162" s="24"/>
      <c r="F162" s="141"/>
      <c r="G162" s="106"/>
      <c r="H162" s="85" t="str">
        <f t="shared" si="21"/>
        <v>64</v>
      </c>
      <c r="I162" s="112"/>
    </row>
    <row r="163" spans="1:9">
      <c r="A163" s="195">
        <f t="shared" si="22"/>
        <v>148</v>
      </c>
      <c r="B163" s="116" t="str">
        <f t="shared" si="20"/>
        <v>094</v>
      </c>
      <c r="C163" s="38"/>
      <c r="D163" s="256"/>
      <c r="E163" s="24"/>
      <c r="F163" s="141"/>
      <c r="G163" s="106"/>
      <c r="H163" s="85" t="str">
        <f t="shared" si="21"/>
        <v>00</v>
      </c>
      <c r="I163" s="112"/>
    </row>
    <row r="164" spans="1:9">
      <c r="A164" s="195">
        <f t="shared" si="22"/>
        <v>149</v>
      </c>
      <c r="B164" s="116" t="str">
        <f t="shared" si="20"/>
        <v>095</v>
      </c>
      <c r="C164" s="38"/>
      <c r="D164" s="256"/>
      <c r="E164" s="24"/>
      <c r="F164" s="141"/>
      <c r="G164" s="106"/>
      <c r="H164" s="85" t="str">
        <f t="shared" si="21"/>
        <v>64</v>
      </c>
      <c r="I164" s="112"/>
    </row>
    <row r="165" spans="1:9">
      <c r="A165" s="195">
        <f t="shared" si="22"/>
        <v>150</v>
      </c>
      <c r="B165" s="116" t="str">
        <f t="shared" si="20"/>
        <v>096</v>
      </c>
      <c r="C165" s="38"/>
      <c r="D165" s="256"/>
      <c r="E165" s="23" t="s">
        <v>87</v>
      </c>
      <c r="F165" s="26" t="s">
        <v>166</v>
      </c>
      <c r="G165" s="202" t="s">
        <v>167</v>
      </c>
      <c r="H165" s="85" t="str">
        <f t="shared" ref="H165:H178" si="23">INDEX(DynamicFactorTbl_X,(ROW()-ROW($H$165)+1))</f>
        <v>00</v>
      </c>
      <c r="I165" s="112"/>
    </row>
    <row r="166" spans="1:9">
      <c r="A166" s="195">
        <f t="shared" si="22"/>
        <v>151</v>
      </c>
      <c r="B166" s="116" t="str">
        <f t="shared" si="20"/>
        <v>097</v>
      </c>
      <c r="C166" s="38"/>
      <c r="D166" s="256"/>
      <c r="E166" s="24"/>
      <c r="F166" s="141"/>
      <c r="G166" s="106">
        <v>7</v>
      </c>
      <c r="H166" s="85" t="str">
        <f t="shared" si="23"/>
        <v>C8</v>
      </c>
      <c r="I166" s="112"/>
    </row>
    <row r="167" spans="1:9">
      <c r="A167" s="195">
        <f t="shared" si="22"/>
        <v>152</v>
      </c>
      <c r="B167" s="116" t="str">
        <f t="shared" si="20"/>
        <v>098</v>
      </c>
      <c r="C167" s="38"/>
      <c r="D167" s="256"/>
      <c r="E167" s="24"/>
      <c r="F167" s="141"/>
      <c r="G167" s="106"/>
      <c r="H167" s="85" t="str">
        <f t="shared" si="23"/>
        <v>01</v>
      </c>
      <c r="I167" s="112"/>
    </row>
    <row r="168" spans="1:9">
      <c r="A168" s="195">
        <f t="shared" si="22"/>
        <v>153</v>
      </c>
      <c r="B168" s="116" t="str">
        <f t="shared" si="20"/>
        <v>099</v>
      </c>
      <c r="C168" s="38"/>
      <c r="D168" s="256"/>
      <c r="E168" s="24"/>
      <c r="F168" s="141"/>
      <c r="G168" s="106"/>
      <c r="H168" s="85" t="str">
        <f t="shared" si="23"/>
        <v>2C</v>
      </c>
      <c r="I168" s="112"/>
    </row>
    <row r="169" spans="1:9">
      <c r="A169" s="195">
        <f t="shared" si="22"/>
        <v>154</v>
      </c>
      <c r="B169" s="116" t="str">
        <f t="shared" si="20"/>
        <v>09A</v>
      </c>
      <c r="C169" s="38"/>
      <c r="D169" s="256"/>
      <c r="E169" s="24"/>
      <c r="F169" s="141"/>
      <c r="G169" s="106"/>
      <c r="H169" s="85" t="str">
        <f t="shared" si="23"/>
        <v>01</v>
      </c>
      <c r="I169" s="112"/>
    </row>
    <row r="170" spans="1:9">
      <c r="A170" s="195">
        <f t="shared" si="22"/>
        <v>155</v>
      </c>
      <c r="B170" s="116" t="str">
        <f t="shared" si="20"/>
        <v>09B</v>
      </c>
      <c r="C170" s="38"/>
      <c r="D170" s="256"/>
      <c r="E170" s="24"/>
      <c r="F170" s="141"/>
      <c r="G170" s="106"/>
      <c r="H170" s="85" t="str">
        <f t="shared" si="23"/>
        <v>90</v>
      </c>
      <c r="I170" s="112"/>
    </row>
    <row r="171" spans="1:9">
      <c r="A171" s="195">
        <f t="shared" si="22"/>
        <v>156</v>
      </c>
      <c r="B171" s="116" t="str">
        <f t="shared" si="20"/>
        <v>09C</v>
      </c>
      <c r="C171" s="38"/>
      <c r="D171" s="256"/>
      <c r="E171" s="24"/>
      <c r="F171" s="141"/>
      <c r="G171" s="106"/>
      <c r="H171" s="85" t="str">
        <f t="shared" si="23"/>
        <v>01</v>
      </c>
      <c r="I171" s="112"/>
    </row>
    <row r="172" spans="1:9">
      <c r="A172" s="195">
        <f t="shared" si="22"/>
        <v>157</v>
      </c>
      <c r="B172" s="116" t="str">
        <f t="shared" si="20"/>
        <v>09D</v>
      </c>
      <c r="C172" s="38"/>
      <c r="D172" s="256"/>
      <c r="E172" s="24"/>
      <c r="F172" s="141"/>
      <c r="G172" s="106"/>
      <c r="H172" s="85" t="str">
        <f t="shared" si="23"/>
        <v>F4</v>
      </c>
      <c r="I172" s="112"/>
    </row>
    <row r="173" spans="1:9">
      <c r="A173" s="195">
        <f t="shared" si="22"/>
        <v>158</v>
      </c>
      <c r="B173" s="116" t="str">
        <f t="shared" si="20"/>
        <v>09E</v>
      </c>
      <c r="C173" s="38"/>
      <c r="D173" s="256"/>
      <c r="E173" s="24"/>
      <c r="F173" s="141"/>
      <c r="G173" s="106"/>
      <c r="H173" s="85" t="str">
        <f t="shared" si="23"/>
        <v>02</v>
      </c>
      <c r="I173" s="112"/>
    </row>
    <row r="174" spans="1:9">
      <c r="A174" s="195">
        <f t="shared" si="22"/>
        <v>159</v>
      </c>
      <c r="B174" s="116" t="str">
        <f t="shared" si="20"/>
        <v>09F</v>
      </c>
      <c r="C174" s="38"/>
      <c r="D174" s="256"/>
      <c r="E174" s="24"/>
      <c r="F174" s="141"/>
      <c r="G174" s="106"/>
      <c r="H174" s="85" t="str">
        <f t="shared" si="23"/>
        <v>58</v>
      </c>
      <c r="I174" s="112"/>
    </row>
    <row r="175" spans="1:9">
      <c r="A175" s="195">
        <f t="shared" si="22"/>
        <v>160</v>
      </c>
      <c r="B175" s="116" t="str">
        <f t="shared" si="20"/>
        <v>0A0</v>
      </c>
      <c r="C175" s="38"/>
      <c r="D175" s="256"/>
      <c r="E175" s="24"/>
      <c r="F175" s="141"/>
      <c r="G175" s="106"/>
      <c r="H175" s="85" t="str">
        <f t="shared" si="23"/>
        <v>02</v>
      </c>
      <c r="I175" s="112"/>
    </row>
    <row r="176" spans="1:9">
      <c r="A176" s="195">
        <f t="shared" si="22"/>
        <v>161</v>
      </c>
      <c r="B176" s="116" t="str">
        <f t="shared" si="20"/>
        <v>0A1</v>
      </c>
      <c r="C176" s="38"/>
      <c r="D176" s="256"/>
      <c r="E176" s="24"/>
      <c r="F176" s="141"/>
      <c r="G176" s="106"/>
      <c r="H176" s="85" t="str">
        <f t="shared" si="23"/>
        <v>BC</v>
      </c>
      <c r="I176" s="112"/>
    </row>
    <row r="177" spans="1:9">
      <c r="A177" s="195">
        <f t="shared" si="22"/>
        <v>162</v>
      </c>
      <c r="B177" s="116" t="str">
        <f t="shared" si="20"/>
        <v>0A2</v>
      </c>
      <c r="C177" s="38"/>
      <c r="D177" s="256"/>
      <c r="E177" s="24"/>
      <c r="F177" s="141"/>
      <c r="G177" s="106"/>
      <c r="H177" s="85" t="str">
        <f t="shared" si="23"/>
        <v>03</v>
      </c>
      <c r="I177" s="112"/>
    </row>
    <row r="178" spans="1:9">
      <c r="A178" s="195">
        <f t="shared" si="22"/>
        <v>163</v>
      </c>
      <c r="B178" s="116" t="str">
        <f t="shared" si="20"/>
        <v>0A3</v>
      </c>
      <c r="C178" s="38"/>
      <c r="D178" s="256"/>
      <c r="E178" s="24"/>
      <c r="F178" s="141"/>
      <c r="G178" s="106"/>
      <c r="H178" s="85" t="str">
        <f t="shared" si="23"/>
        <v>20</v>
      </c>
      <c r="I178" s="112"/>
    </row>
    <row r="179" spans="1:9">
      <c r="A179" s="195">
        <f t="shared" si="22"/>
        <v>164</v>
      </c>
      <c r="B179" s="116" t="str">
        <f t="shared" si="20"/>
        <v>0A4</v>
      </c>
      <c r="C179" s="38"/>
      <c r="D179" s="256"/>
      <c r="E179" s="23" t="s">
        <v>87</v>
      </c>
      <c r="F179" s="26" t="s">
        <v>168</v>
      </c>
      <c r="G179" s="202" t="s">
        <v>167</v>
      </c>
      <c r="H179" s="85" t="str">
        <f t="shared" ref="H179:H192" si="24">INDEX(DynamicFactorTbl_Y,(ROW()-ROW($H$179)+1))</f>
        <v>01</v>
      </c>
      <c r="I179" s="112"/>
    </row>
    <row r="180" spans="1:9">
      <c r="A180" s="195">
        <f t="shared" si="22"/>
        <v>165</v>
      </c>
      <c r="B180" s="116" t="str">
        <f t="shared" si="20"/>
        <v>0A5</v>
      </c>
      <c r="C180" s="38"/>
      <c r="D180" s="256"/>
      <c r="E180" s="24"/>
      <c r="F180" s="141"/>
      <c r="G180" s="106"/>
      <c r="H180" s="85" t="str">
        <f t="shared" si="24"/>
        <v>00</v>
      </c>
      <c r="I180" s="112"/>
    </row>
    <row r="181" spans="1:9">
      <c r="A181" s="195">
        <f t="shared" si="22"/>
        <v>166</v>
      </c>
      <c r="B181" s="116" t="str">
        <f t="shared" si="20"/>
        <v>0A6</v>
      </c>
      <c r="C181" s="38"/>
      <c r="D181" s="256"/>
      <c r="E181" s="24"/>
      <c r="F181" s="141"/>
      <c r="G181" s="106"/>
      <c r="H181" s="85" t="str">
        <f t="shared" si="24"/>
        <v>01</v>
      </c>
      <c r="I181" s="112"/>
    </row>
    <row r="182" spans="1:9">
      <c r="A182" s="195">
        <f t="shared" si="22"/>
        <v>167</v>
      </c>
      <c r="B182" s="116" t="str">
        <f t="shared" si="20"/>
        <v>0A7</v>
      </c>
      <c r="C182" s="38"/>
      <c r="D182" s="256"/>
      <c r="E182" s="24"/>
      <c r="F182" s="141"/>
      <c r="G182" s="106"/>
      <c r="H182" s="85" t="str">
        <f t="shared" si="24"/>
        <v>B2</v>
      </c>
      <c r="I182" s="112"/>
    </row>
    <row r="183" spans="1:9">
      <c r="A183" s="195">
        <f t="shared" si="22"/>
        <v>168</v>
      </c>
      <c r="B183" s="116" t="str">
        <f t="shared" si="20"/>
        <v>0A8</v>
      </c>
      <c r="C183" s="38"/>
      <c r="D183" s="256"/>
      <c r="E183" s="24"/>
      <c r="F183" s="141"/>
      <c r="G183" s="106"/>
      <c r="H183" s="85" t="str">
        <f t="shared" si="24"/>
        <v>02</v>
      </c>
      <c r="I183" s="112"/>
    </row>
    <row r="184" spans="1:9">
      <c r="A184" s="195">
        <f t="shared" si="22"/>
        <v>169</v>
      </c>
      <c r="B184" s="116" t="str">
        <f t="shared" si="20"/>
        <v>0A9</v>
      </c>
      <c r="C184" s="38"/>
      <c r="D184" s="256"/>
      <c r="E184" s="24"/>
      <c r="F184" s="141"/>
      <c r="G184" s="106"/>
      <c r="H184" s="85" t="str">
        <f t="shared" si="24"/>
        <v>4C</v>
      </c>
      <c r="I184" s="112"/>
    </row>
    <row r="185" spans="1:9">
      <c r="A185" s="195">
        <f t="shared" si="22"/>
        <v>170</v>
      </c>
      <c r="B185" s="116" t="str">
        <f t="shared" si="20"/>
        <v>0AA</v>
      </c>
      <c r="C185" s="38"/>
      <c r="D185" s="256"/>
      <c r="E185" s="24"/>
      <c r="F185" s="141"/>
      <c r="G185" s="106"/>
      <c r="H185" s="85" t="str">
        <f t="shared" si="24"/>
        <v>03</v>
      </c>
      <c r="I185" s="112"/>
    </row>
    <row r="186" spans="1:9">
      <c r="A186" s="195">
        <f t="shared" si="22"/>
        <v>171</v>
      </c>
      <c r="B186" s="116" t="str">
        <f t="shared" si="20"/>
        <v>0AB</v>
      </c>
      <c r="C186" s="38"/>
      <c r="D186" s="256"/>
      <c r="E186" s="24"/>
      <c r="F186" s="141"/>
      <c r="G186" s="106"/>
      <c r="H186" s="85" t="str">
        <f t="shared" si="24"/>
        <v>28</v>
      </c>
      <c r="I186" s="112"/>
    </row>
    <row r="187" spans="1:9">
      <c r="A187" s="195">
        <f t="shared" si="22"/>
        <v>172</v>
      </c>
      <c r="B187" s="116" t="str">
        <f t="shared" si="20"/>
        <v>0AC</v>
      </c>
      <c r="C187" s="38"/>
      <c r="D187" s="256"/>
      <c r="E187" s="24"/>
      <c r="F187" s="141"/>
      <c r="G187" s="106"/>
      <c r="H187" s="85" t="str">
        <f t="shared" si="24"/>
        <v>02</v>
      </c>
      <c r="I187" s="112"/>
    </row>
    <row r="188" spans="1:9">
      <c r="A188" s="195">
        <f t="shared" si="22"/>
        <v>173</v>
      </c>
      <c r="B188" s="116" t="str">
        <f t="shared" si="20"/>
        <v>0AD</v>
      </c>
      <c r="C188" s="38"/>
      <c r="D188" s="256"/>
      <c r="E188" s="24"/>
      <c r="F188" s="141"/>
      <c r="G188" s="106"/>
      <c r="H188" s="85" t="str">
        <f t="shared" si="24"/>
        <v>AD</v>
      </c>
      <c r="I188" s="112"/>
    </row>
    <row r="189" spans="1:9">
      <c r="A189" s="195">
        <f t="shared" si="22"/>
        <v>174</v>
      </c>
      <c r="B189" s="116" t="str">
        <f t="shared" si="20"/>
        <v>0AE</v>
      </c>
      <c r="C189" s="38"/>
      <c r="D189" s="256"/>
      <c r="E189" s="24"/>
      <c r="F189" s="141"/>
      <c r="G189" s="106"/>
      <c r="H189" s="85" t="str">
        <f t="shared" si="24"/>
        <v>02</v>
      </c>
      <c r="I189" s="112"/>
    </row>
    <row r="190" spans="1:9">
      <c r="A190" s="195">
        <f t="shared" si="22"/>
        <v>175</v>
      </c>
      <c r="B190" s="116" t="str">
        <f t="shared" si="20"/>
        <v>0AF</v>
      </c>
      <c r="C190" s="38"/>
      <c r="D190" s="256"/>
      <c r="E190" s="24"/>
      <c r="F190" s="141"/>
      <c r="G190" s="106"/>
      <c r="H190" s="85" t="str">
        <f t="shared" si="24"/>
        <v>29</v>
      </c>
      <c r="I190" s="112"/>
    </row>
    <row r="191" spans="1:9">
      <c r="A191" s="195">
        <f t="shared" si="22"/>
        <v>176</v>
      </c>
      <c r="B191" s="116" t="str">
        <f t="shared" si="20"/>
        <v>0B0</v>
      </c>
      <c r="C191" s="38"/>
      <c r="D191" s="256"/>
      <c r="E191" s="24"/>
      <c r="F191" s="141"/>
      <c r="G191" s="106"/>
      <c r="H191" s="85" t="str">
        <f t="shared" si="24"/>
        <v>01</v>
      </c>
      <c r="I191" s="112"/>
    </row>
    <row r="192" spans="1:9">
      <c r="A192" s="195">
        <f t="shared" si="22"/>
        <v>177</v>
      </c>
      <c r="B192" s="116" t="str">
        <f t="shared" si="20"/>
        <v>0B1</v>
      </c>
      <c r="C192" s="38"/>
      <c r="D192" s="256"/>
      <c r="E192" s="24"/>
      <c r="F192" s="141"/>
      <c r="G192" s="106"/>
      <c r="H192" s="85" t="str">
        <f t="shared" si="24"/>
        <v>53</v>
      </c>
      <c r="I192" s="112"/>
    </row>
    <row r="193" spans="1:9">
      <c r="A193" s="195">
        <f t="shared" si="22"/>
        <v>178</v>
      </c>
      <c r="B193" s="116" t="str">
        <f t="shared" si="20"/>
        <v>0B2</v>
      </c>
      <c r="C193" s="38"/>
      <c r="D193" s="295"/>
      <c r="E193" s="23" t="s">
        <v>89</v>
      </c>
      <c r="F193" s="294" t="s">
        <v>173</v>
      </c>
      <c r="G193" s="292" t="s">
        <v>175</v>
      </c>
      <c r="H193" s="85" t="str">
        <f t="shared" ref="H193:H202" si="25">INDEX(DampingFactorX,(ROW()-ROW($H$193)+1))</f>
        <v>00</v>
      </c>
      <c r="I193" s="112"/>
    </row>
    <row r="194" spans="1:9">
      <c r="A194" s="195">
        <f t="shared" si="22"/>
        <v>179</v>
      </c>
      <c r="B194" s="116" t="str">
        <f t="shared" si="20"/>
        <v>0B3</v>
      </c>
      <c r="C194" s="38"/>
      <c r="D194" s="38"/>
      <c r="E194" s="24"/>
      <c r="F194" s="141"/>
      <c r="G194" s="106">
        <v>5</v>
      </c>
      <c r="H194" s="85" t="str">
        <f t="shared" si="25"/>
        <v>00</v>
      </c>
      <c r="I194" s="112"/>
    </row>
    <row r="195" spans="1:9">
      <c r="A195" s="195">
        <f t="shared" si="22"/>
        <v>180</v>
      </c>
      <c r="B195" s="116" t="str">
        <f t="shared" si="20"/>
        <v>0B4</v>
      </c>
      <c r="C195" s="38"/>
      <c r="D195" s="38"/>
      <c r="E195" s="24"/>
      <c r="F195" s="141"/>
      <c r="G195" s="106"/>
      <c r="H195" s="85" t="str">
        <f t="shared" si="25"/>
        <v>00</v>
      </c>
      <c r="I195" s="112"/>
    </row>
    <row r="196" spans="1:9">
      <c r="A196" s="195">
        <f t="shared" si="22"/>
        <v>181</v>
      </c>
      <c r="B196" s="116" t="str">
        <f t="shared" si="20"/>
        <v>0B5</v>
      </c>
      <c r="C196" s="38"/>
      <c r="D196" s="38"/>
      <c r="E196" s="24"/>
      <c r="F196" s="141"/>
      <c r="G196" s="106"/>
      <c r="H196" s="85" t="str">
        <f t="shared" si="25"/>
        <v>05</v>
      </c>
      <c r="I196" s="112"/>
    </row>
    <row r="197" spans="1:9">
      <c r="A197" s="195">
        <f t="shared" si="22"/>
        <v>182</v>
      </c>
      <c r="B197" s="116" t="str">
        <f t="shared" si="20"/>
        <v>0B6</v>
      </c>
      <c r="C197" s="38"/>
      <c r="D197" s="38"/>
      <c r="E197" s="24"/>
      <c r="F197" s="141"/>
      <c r="G197" s="106"/>
      <c r="H197" s="85" t="str">
        <f t="shared" si="25"/>
        <v>00</v>
      </c>
      <c r="I197" s="112"/>
    </row>
    <row r="198" spans="1:9">
      <c r="A198" s="195">
        <f t="shared" si="22"/>
        <v>183</v>
      </c>
      <c r="B198" s="116" t="str">
        <f t="shared" si="20"/>
        <v>0B7</v>
      </c>
      <c r="C198" s="38"/>
      <c r="D198" s="38"/>
      <c r="E198" s="24"/>
      <c r="F198" s="141"/>
      <c r="G198" s="106"/>
      <c r="H198" s="85" t="str">
        <f t="shared" si="25"/>
        <v>14</v>
      </c>
      <c r="I198" s="112"/>
    </row>
    <row r="199" spans="1:9">
      <c r="A199" s="195">
        <f t="shared" si="22"/>
        <v>184</v>
      </c>
      <c r="B199" s="116" t="str">
        <f t="shared" si="20"/>
        <v>0B8</v>
      </c>
      <c r="C199" s="38"/>
      <c r="D199" s="38"/>
      <c r="E199" s="24"/>
      <c r="F199" s="141"/>
      <c r="G199" s="106"/>
      <c r="H199" s="85" t="str">
        <f t="shared" si="25"/>
        <v>00</v>
      </c>
      <c r="I199" s="112"/>
    </row>
    <row r="200" spans="1:9">
      <c r="A200" s="195">
        <f t="shared" si="22"/>
        <v>185</v>
      </c>
      <c r="B200" s="116" t="str">
        <f t="shared" si="20"/>
        <v>0B9</v>
      </c>
      <c r="C200" s="38"/>
      <c r="D200" s="38"/>
      <c r="E200" s="24"/>
      <c r="F200" s="141"/>
      <c r="G200" s="106"/>
      <c r="H200" s="85" t="str">
        <f t="shared" si="25"/>
        <v>1E</v>
      </c>
      <c r="I200" s="112"/>
    </row>
    <row r="201" spans="1:9">
      <c r="A201" s="195">
        <f t="shared" si="22"/>
        <v>186</v>
      </c>
      <c r="B201" s="116" t="str">
        <f t="shared" si="20"/>
        <v>0BA</v>
      </c>
      <c r="C201" s="38"/>
      <c r="D201" s="38"/>
      <c r="E201" s="24"/>
      <c r="F201" s="141"/>
      <c r="G201" s="106"/>
      <c r="H201" s="85" t="str">
        <f t="shared" si="25"/>
        <v>00</v>
      </c>
      <c r="I201" s="112"/>
    </row>
    <row r="202" spans="1:9">
      <c r="A202" s="195">
        <f t="shared" si="22"/>
        <v>187</v>
      </c>
      <c r="B202" s="116" t="str">
        <f t="shared" si="20"/>
        <v>0BB</v>
      </c>
      <c r="C202" s="38"/>
      <c r="D202" s="38"/>
      <c r="E202" s="22"/>
      <c r="F202" s="139"/>
      <c r="G202" s="140"/>
      <c r="H202" s="85" t="str">
        <f t="shared" si="25"/>
        <v>32</v>
      </c>
      <c r="I202" s="112"/>
    </row>
    <row r="203" spans="1:9">
      <c r="A203" s="195">
        <f t="shared" si="22"/>
        <v>188</v>
      </c>
      <c r="B203" s="116" t="str">
        <f t="shared" si="20"/>
        <v>0BC</v>
      </c>
      <c r="C203" s="38"/>
      <c r="D203" s="256"/>
      <c r="E203" s="23" t="s">
        <v>89</v>
      </c>
      <c r="F203" s="294" t="s">
        <v>174</v>
      </c>
      <c r="G203" s="292" t="s">
        <v>175</v>
      </c>
      <c r="H203" s="85" t="str">
        <f t="shared" ref="H203:H212" si="26">INDEX(DampingFactorY,(ROW()-ROW($H$203)+1))</f>
        <v>00</v>
      </c>
      <c r="I203" s="112"/>
    </row>
    <row r="204" spans="1:9">
      <c r="A204" s="195">
        <f t="shared" si="22"/>
        <v>189</v>
      </c>
      <c r="B204" s="116" t="str">
        <f t="shared" si="20"/>
        <v>0BD</v>
      </c>
      <c r="C204" s="38"/>
      <c r="D204" s="38"/>
      <c r="E204" s="24"/>
      <c r="F204" s="141"/>
      <c r="G204" s="106"/>
      <c r="H204" s="85" t="str">
        <f t="shared" si="26"/>
        <v>07</v>
      </c>
      <c r="I204" s="112"/>
    </row>
    <row r="205" spans="1:9">
      <c r="A205" s="195">
        <f t="shared" si="22"/>
        <v>190</v>
      </c>
      <c r="B205" s="116" t="str">
        <f t="shared" si="20"/>
        <v>0BE</v>
      </c>
      <c r="C205" s="38"/>
      <c r="D205" s="38"/>
      <c r="E205" s="24"/>
      <c r="F205" s="141"/>
      <c r="G205" s="106"/>
      <c r="H205" s="85" t="str">
        <f t="shared" si="26"/>
        <v>00</v>
      </c>
      <c r="I205" s="112"/>
    </row>
    <row r="206" spans="1:9">
      <c r="A206" s="195">
        <f t="shared" si="22"/>
        <v>191</v>
      </c>
      <c r="B206" s="116" t="str">
        <f t="shared" si="20"/>
        <v>0BF</v>
      </c>
      <c r="C206" s="38"/>
      <c r="D206" s="38"/>
      <c r="E206" s="24"/>
      <c r="F206" s="141"/>
      <c r="G206" s="106"/>
      <c r="H206" s="85" t="str">
        <f t="shared" si="26"/>
        <v>07</v>
      </c>
      <c r="I206" s="112"/>
    </row>
    <row r="207" spans="1:9">
      <c r="A207" s="195">
        <f t="shared" si="22"/>
        <v>192</v>
      </c>
      <c r="B207" s="116" t="str">
        <f t="shared" si="20"/>
        <v>0C0</v>
      </c>
      <c r="C207" s="38"/>
      <c r="D207" s="38"/>
      <c r="E207" s="24"/>
      <c r="F207" s="141"/>
      <c r="G207" s="106"/>
      <c r="H207" s="85" t="str">
        <f t="shared" si="26"/>
        <v>00</v>
      </c>
      <c r="I207" s="112"/>
    </row>
    <row r="208" spans="1:9">
      <c r="A208" s="195">
        <f t="shared" si="22"/>
        <v>193</v>
      </c>
      <c r="B208" s="116" t="str">
        <f t="shared" si="20"/>
        <v>0C1</v>
      </c>
      <c r="C208" s="38"/>
      <c r="D208" s="38"/>
      <c r="E208" s="24"/>
      <c r="F208" s="141"/>
      <c r="G208" s="106"/>
      <c r="H208" s="85" t="str">
        <f t="shared" si="26"/>
        <v>04</v>
      </c>
      <c r="I208" s="112"/>
    </row>
    <row r="209" spans="1:9">
      <c r="A209" s="195">
        <f t="shared" si="22"/>
        <v>194</v>
      </c>
      <c r="B209" s="116" t="str">
        <f t="shared" si="20"/>
        <v>0C2</v>
      </c>
      <c r="C209" s="38"/>
      <c r="D209" s="38"/>
      <c r="E209" s="24"/>
      <c r="F209" s="141"/>
      <c r="G209" s="106"/>
      <c r="H209" s="85" t="str">
        <f t="shared" si="26"/>
        <v>00</v>
      </c>
      <c r="I209" s="112"/>
    </row>
    <row r="210" spans="1:9">
      <c r="A210" s="195">
        <f t="shared" si="22"/>
        <v>195</v>
      </c>
      <c r="B210" s="116" t="str">
        <f t="shared" si="20"/>
        <v>0C3</v>
      </c>
      <c r="C210" s="38"/>
      <c r="D210" s="38"/>
      <c r="E210" s="24"/>
      <c r="F210" s="141"/>
      <c r="G210" s="106"/>
      <c r="H210" s="85" t="str">
        <f t="shared" si="26"/>
        <v>02</v>
      </c>
      <c r="I210" s="112"/>
    </row>
    <row r="211" spans="1:9">
      <c r="A211" s="195">
        <f t="shared" si="22"/>
        <v>196</v>
      </c>
      <c r="B211" s="116" t="str">
        <f t="shared" si="20"/>
        <v>0C4</v>
      </c>
      <c r="C211" s="38"/>
      <c r="D211" s="38"/>
      <c r="E211" s="24"/>
      <c r="F211" s="141"/>
      <c r="G211" s="106"/>
      <c r="H211" s="85" t="str">
        <f t="shared" si="26"/>
        <v>00</v>
      </c>
      <c r="I211" s="112"/>
    </row>
    <row r="212" spans="1:9" ht="13.5" thickBot="1">
      <c r="A212" s="195">
        <f t="shared" si="22"/>
        <v>197</v>
      </c>
      <c r="B212" s="116" t="str">
        <f t="shared" si="20"/>
        <v>0C5</v>
      </c>
      <c r="C212" s="38"/>
      <c r="D212" s="38"/>
      <c r="E212" s="24"/>
      <c r="F212" s="141"/>
      <c r="G212" s="106"/>
      <c r="H212" s="85" t="str">
        <f t="shared" si="26"/>
        <v>01</v>
      </c>
      <c r="I212" s="112"/>
    </row>
    <row r="213" spans="1:9">
      <c r="A213" s="195">
        <f t="shared" si="22"/>
        <v>198</v>
      </c>
      <c r="B213" s="116" t="str">
        <f t="shared" si="20"/>
        <v>0C6</v>
      </c>
      <c r="C213" s="49"/>
      <c r="D213" s="33" t="s">
        <v>23</v>
      </c>
      <c r="E213" s="191" t="s">
        <v>14</v>
      </c>
      <c r="F213" s="34" t="s">
        <v>19</v>
      </c>
      <c r="G213" s="79"/>
      <c r="H213" s="82" t="str">
        <f>Checksum_ADD(H57:H212)</f>
        <v>A5</v>
      </c>
      <c r="I213" s="61" t="s">
        <v>90</v>
      </c>
    </row>
    <row r="214" spans="1:9" ht="13.5" thickBot="1">
      <c r="A214" s="195">
        <f t="shared" si="22"/>
        <v>199</v>
      </c>
      <c r="B214" s="116" t="str">
        <f t="shared" si="20"/>
        <v>0C7</v>
      </c>
      <c r="C214" s="48"/>
      <c r="D214" s="178" t="s">
        <v>23</v>
      </c>
      <c r="E214" s="192" t="s">
        <v>14</v>
      </c>
      <c r="F214" s="80" t="s">
        <v>20</v>
      </c>
      <c r="G214" s="80"/>
      <c r="H214" s="83" t="str">
        <f>Checksum_XOR(H57:H212)</f>
        <v>19</v>
      </c>
      <c r="I214" s="118" t="s">
        <v>91</v>
      </c>
    </row>
    <row r="215" spans="1:9" ht="15.75" customHeight="1">
      <c r="A215" s="195">
        <f t="shared" si="22"/>
        <v>200</v>
      </c>
      <c r="B215" s="116" t="str">
        <f t="shared" ref="B215:B245" si="27">DEC2HEX(A215,3)</f>
        <v>0C8</v>
      </c>
      <c r="C215" s="47" t="s">
        <v>83</v>
      </c>
      <c r="D215" s="28" t="s">
        <v>72</v>
      </c>
      <c r="E215" s="254" t="s">
        <v>73</v>
      </c>
      <c r="F215" s="255" t="str">
        <f>Configuration!B44</f>
        <v>SensorDefault</v>
      </c>
      <c r="G215" s="258"/>
      <c r="H215" s="84">
        <f t="shared" ref="H215:H243" si="28">INDEX(MacroDefine,(ROW()-ROW($H$215)+1))</f>
        <v>650</v>
      </c>
      <c r="I215" s="81"/>
    </row>
    <row r="216" spans="1:9" ht="15.75" customHeight="1">
      <c r="A216" s="195">
        <f t="shared" si="22"/>
        <v>201</v>
      </c>
      <c r="B216" s="116" t="str">
        <f t="shared" si="27"/>
        <v>0C9</v>
      </c>
      <c r="C216" s="48"/>
      <c r="D216" s="28"/>
      <c r="E216" s="53" t="s">
        <v>74</v>
      </c>
      <c r="F216" s="237" t="str">
        <f>Configuration!B45</f>
        <v>DynOffsetZeroPoint</v>
      </c>
      <c r="G216" s="203"/>
      <c r="H216" s="84">
        <f t="shared" si="28"/>
        <v>200</v>
      </c>
      <c r="I216" s="81"/>
    </row>
    <row r="217" spans="1:9" ht="15.75" customHeight="1">
      <c r="A217" s="195">
        <f t="shared" si="22"/>
        <v>202</v>
      </c>
      <c r="B217" s="116" t="str">
        <f t="shared" si="27"/>
        <v>0CA</v>
      </c>
      <c r="C217" s="48"/>
      <c r="D217" s="28"/>
      <c r="E217" s="53" t="s">
        <v>74</v>
      </c>
      <c r="F217" s="237" t="str">
        <f>Configuration!B46</f>
        <v>DynamicOffsetTimeCircle</v>
      </c>
      <c r="G217" s="203"/>
      <c r="H217" s="84">
        <f t="shared" si="28"/>
        <v>16</v>
      </c>
      <c r="I217" s="81"/>
    </row>
    <row r="218" spans="1:9" ht="16.5" customHeight="1">
      <c r="A218" s="195">
        <f t="shared" si="22"/>
        <v>203</v>
      </c>
      <c r="B218" s="116" t="str">
        <f t="shared" si="27"/>
        <v>0CB</v>
      </c>
      <c r="C218" s="48"/>
      <c r="D218" s="28"/>
      <c r="E218" s="53" t="s">
        <v>74</v>
      </c>
      <c r="F218" s="237" t="str">
        <f>Configuration!B47</f>
        <v>DynamicFactorRes</v>
      </c>
      <c r="G218" s="203"/>
      <c r="H218" s="84">
        <f t="shared" si="28"/>
        <v>1000</v>
      </c>
      <c r="I218" s="81"/>
    </row>
    <row r="219" spans="1:9" ht="15.75" customHeight="1">
      <c r="A219" s="195">
        <f t="shared" ref="A219:A282" si="29">A218+(ROW()-ROW(A218))</f>
        <v>204</v>
      </c>
      <c r="B219" s="116" t="str">
        <f t="shared" si="27"/>
        <v>0CC</v>
      </c>
      <c r="C219" s="48"/>
      <c r="D219" s="28"/>
      <c r="E219" s="53" t="s">
        <v>73</v>
      </c>
      <c r="F219" s="237" t="str">
        <f>Configuration!B48</f>
        <v>Reserve11</v>
      </c>
      <c r="G219" s="203"/>
      <c r="H219" s="84">
        <f t="shared" si="28"/>
        <v>0</v>
      </c>
      <c r="I219" s="81"/>
    </row>
    <row r="220" spans="1:9" ht="15.75" customHeight="1">
      <c r="A220" s="195">
        <f t="shared" si="29"/>
        <v>205</v>
      </c>
      <c r="B220" s="116" t="str">
        <f t="shared" si="27"/>
        <v>0CD</v>
      </c>
      <c r="C220" s="48"/>
      <c r="D220" s="28"/>
      <c r="E220" s="53" t="s">
        <v>74</v>
      </c>
      <c r="F220" s="237" t="str">
        <f>Configuration!B49</f>
        <v>SensorSgErrorMask</v>
      </c>
      <c r="G220" s="203"/>
      <c r="H220" s="84">
        <f t="shared" si="28"/>
        <v>1</v>
      </c>
      <c r="I220" s="81"/>
    </row>
    <row r="221" spans="1:9" ht="15.75" customHeight="1">
      <c r="A221" s="195">
        <f t="shared" si="29"/>
        <v>206</v>
      </c>
      <c r="B221" s="116" t="str">
        <f t="shared" si="27"/>
        <v>0CE</v>
      </c>
      <c r="C221" s="48"/>
      <c r="D221" s="28"/>
      <c r="E221" s="53" t="s">
        <v>73</v>
      </c>
      <c r="F221" s="237" t="str">
        <f>Configuration!B50</f>
        <v>SensorSpErrorMask</v>
      </c>
      <c r="G221" s="203"/>
      <c r="H221" s="84">
        <f t="shared" si="28"/>
        <v>2</v>
      </c>
      <c r="I221" s="81"/>
    </row>
    <row r="222" spans="1:9" ht="15.75" customHeight="1">
      <c r="A222" s="195">
        <f t="shared" si="29"/>
        <v>207</v>
      </c>
      <c r="B222" s="116" t="str">
        <f t="shared" si="27"/>
        <v>0CF</v>
      </c>
      <c r="C222" s="48"/>
      <c r="D222" s="28"/>
      <c r="E222" s="53" t="s">
        <v>74</v>
      </c>
      <c r="F222" s="237" t="str">
        <f>Configuration!B51</f>
        <v>StaticOffsetInputErrorMask</v>
      </c>
      <c r="G222" s="203"/>
      <c r="H222" s="84">
        <f t="shared" si="28"/>
        <v>4</v>
      </c>
      <c r="I222" s="81"/>
    </row>
    <row r="223" spans="1:9" ht="15.75" customHeight="1">
      <c r="A223" s="195">
        <f t="shared" si="29"/>
        <v>208</v>
      </c>
      <c r="B223" s="116" t="str">
        <f t="shared" si="27"/>
        <v>0D0</v>
      </c>
      <c r="C223" s="48"/>
      <c r="D223" s="28"/>
      <c r="E223" s="53" t="s">
        <v>74</v>
      </c>
      <c r="F223" s="237" t="str">
        <f>Configuration!B52</f>
        <v>DynamicOffsetInputErrorMask</v>
      </c>
      <c r="G223" s="203"/>
      <c r="H223" s="84">
        <f t="shared" si="28"/>
        <v>8</v>
      </c>
      <c r="I223" s="81"/>
    </row>
    <row r="224" spans="1:9" ht="16.5" customHeight="1">
      <c r="A224" s="195">
        <f t="shared" si="29"/>
        <v>209</v>
      </c>
      <c r="B224" s="116" t="str">
        <f t="shared" si="27"/>
        <v>0D1</v>
      </c>
      <c r="C224" s="48"/>
      <c r="D224" s="28"/>
      <c r="E224" s="53" t="s">
        <v>74</v>
      </c>
      <c r="F224" s="237" t="str">
        <f>Configuration!B53</f>
        <v>Reserve21</v>
      </c>
      <c r="G224" s="203"/>
      <c r="H224" s="84">
        <f t="shared" si="28"/>
        <v>16</v>
      </c>
      <c r="I224" s="81"/>
    </row>
    <row r="225" spans="1:9" ht="15.75" customHeight="1">
      <c r="A225" s="195">
        <f t="shared" si="29"/>
        <v>210</v>
      </c>
      <c r="B225" s="116" t="str">
        <f t="shared" si="27"/>
        <v>0D2</v>
      </c>
      <c r="C225" s="48"/>
      <c r="D225" s="28"/>
      <c r="E225" s="53" t="s">
        <v>73</v>
      </c>
      <c r="F225" s="237" t="str">
        <f>Configuration!B54</f>
        <v>Reserve22</v>
      </c>
      <c r="G225" s="203"/>
      <c r="H225" s="84">
        <f t="shared" si="28"/>
        <v>32</v>
      </c>
      <c r="I225" s="81"/>
    </row>
    <row r="226" spans="1:9" ht="15.75" customHeight="1">
      <c r="A226" s="195">
        <f t="shared" si="29"/>
        <v>211</v>
      </c>
      <c r="B226" s="116" t="str">
        <f t="shared" si="27"/>
        <v>0D3</v>
      </c>
      <c r="C226" s="48"/>
      <c r="D226" s="28"/>
      <c r="E226" s="53" t="s">
        <v>74</v>
      </c>
      <c r="F226" s="237" t="str">
        <f>Configuration!B55</f>
        <v>Reserve23</v>
      </c>
      <c r="G226" s="203"/>
      <c r="H226" s="84">
        <f t="shared" si="28"/>
        <v>64</v>
      </c>
      <c r="I226" s="81"/>
    </row>
    <row r="227" spans="1:9" ht="15.75" customHeight="1">
      <c r="A227" s="195">
        <f t="shared" si="29"/>
        <v>212</v>
      </c>
      <c r="B227" s="116" t="str">
        <f t="shared" si="27"/>
        <v>0D4</v>
      </c>
      <c r="C227" s="48"/>
      <c r="D227" s="28"/>
      <c r="E227" s="53" t="s">
        <v>74</v>
      </c>
      <c r="F227" s="237" t="str">
        <f>Configuration!B56</f>
        <v>Reserve24</v>
      </c>
      <c r="G227" s="203"/>
      <c r="H227" s="84">
        <f t="shared" si="28"/>
        <v>128</v>
      </c>
      <c r="I227" s="81"/>
    </row>
    <row r="228" spans="1:9" ht="16.5" customHeight="1">
      <c r="A228" s="195">
        <f t="shared" si="29"/>
        <v>213</v>
      </c>
      <c r="B228" s="116" t="str">
        <f t="shared" si="27"/>
        <v>0D5</v>
      </c>
      <c r="C228" s="48"/>
      <c r="D228" s="28"/>
      <c r="E228" s="53" t="s">
        <v>74</v>
      </c>
      <c r="F228" s="237" t="str">
        <f>Configuration!B57</f>
        <v>Reserve25</v>
      </c>
      <c r="G228" s="203"/>
      <c r="H228" s="84">
        <f t="shared" si="28"/>
        <v>256</v>
      </c>
      <c r="I228" s="81"/>
    </row>
    <row r="229" spans="1:9" ht="15.75" customHeight="1">
      <c r="A229" s="195">
        <f t="shared" si="29"/>
        <v>214</v>
      </c>
      <c r="B229" s="116" t="str">
        <f t="shared" si="27"/>
        <v>0D6</v>
      </c>
      <c r="C229" s="48"/>
      <c r="D229" s="28"/>
      <c r="E229" s="53" t="s">
        <v>73</v>
      </c>
      <c r="F229" s="237" t="str">
        <f>Configuration!B58</f>
        <v>Reserve26</v>
      </c>
      <c r="G229" s="203"/>
      <c r="H229" s="84">
        <f t="shared" si="28"/>
        <v>512</v>
      </c>
      <c r="I229" s="81"/>
    </row>
    <row r="230" spans="1:9" ht="15.75" customHeight="1">
      <c r="A230" s="195">
        <f t="shared" si="29"/>
        <v>215</v>
      </c>
      <c r="B230" s="116" t="str">
        <f t="shared" si="27"/>
        <v>0D7</v>
      </c>
      <c r="C230" s="48"/>
      <c r="D230" s="28"/>
      <c r="E230" s="53" t="s">
        <v>74</v>
      </c>
      <c r="F230" s="237" t="str">
        <f>Configuration!B59</f>
        <v>Reserve27</v>
      </c>
      <c r="G230" s="203"/>
      <c r="H230" s="84">
        <f t="shared" si="28"/>
        <v>1024</v>
      </c>
      <c r="I230" s="81"/>
    </row>
    <row r="231" spans="1:9" ht="15.75" customHeight="1">
      <c r="A231" s="195">
        <f t="shared" si="29"/>
        <v>216</v>
      </c>
      <c r="B231" s="116" t="str">
        <f t="shared" si="27"/>
        <v>0D8</v>
      </c>
      <c r="C231" s="48"/>
      <c r="D231" s="28"/>
      <c r="E231" s="53" t="s">
        <v>73</v>
      </c>
      <c r="F231" s="237" t="str">
        <f>Configuration!B60</f>
        <v>Reserve28</v>
      </c>
      <c r="G231" s="203"/>
      <c r="H231" s="84">
        <f t="shared" si="28"/>
        <v>2048</v>
      </c>
      <c r="I231" s="81"/>
    </row>
    <row r="232" spans="1:9" ht="15.75" customHeight="1">
      <c r="A232" s="195">
        <f t="shared" si="29"/>
        <v>217</v>
      </c>
      <c r="B232" s="116" t="str">
        <f t="shared" si="27"/>
        <v>0D9</v>
      </c>
      <c r="C232" s="48"/>
      <c r="D232" s="28"/>
      <c r="E232" s="53" t="s">
        <v>74</v>
      </c>
      <c r="F232" s="237" t="str">
        <f>Configuration!B61</f>
        <v>DampingLevel1</v>
      </c>
      <c r="G232" s="203"/>
      <c r="H232" s="84">
        <f t="shared" si="28"/>
        <v>21</v>
      </c>
      <c r="I232" s="81"/>
    </row>
    <row r="233" spans="1:9" ht="16.5" customHeight="1">
      <c r="A233" s="195">
        <f t="shared" si="29"/>
        <v>218</v>
      </c>
      <c r="B233" s="116" t="str">
        <f t="shared" si="27"/>
        <v>0DA</v>
      </c>
      <c r="C233" s="48"/>
      <c r="D233" s="28"/>
      <c r="E233" s="53" t="s">
        <v>74</v>
      </c>
      <c r="F233" s="237" t="str">
        <f>Configuration!B62</f>
        <v>DampingLevel2</v>
      </c>
      <c r="G233" s="203"/>
      <c r="H233" s="84">
        <f t="shared" si="28"/>
        <v>85</v>
      </c>
      <c r="I233" s="81"/>
    </row>
    <row r="234" spans="1:9" ht="15.75" customHeight="1">
      <c r="A234" s="195">
        <f t="shared" si="29"/>
        <v>219</v>
      </c>
      <c r="B234" s="116" t="str">
        <f t="shared" si="27"/>
        <v>0DB</v>
      </c>
      <c r="C234" s="48"/>
      <c r="D234" s="28"/>
      <c r="E234" s="53" t="s">
        <v>73</v>
      </c>
      <c r="F234" s="237" t="str">
        <f>Configuration!B63</f>
        <v>DampingLevel3</v>
      </c>
      <c r="G234" s="203"/>
      <c r="H234" s="84">
        <f t="shared" si="28"/>
        <v>128</v>
      </c>
      <c r="I234" s="81"/>
    </row>
    <row r="235" spans="1:9" ht="15.75" customHeight="1">
      <c r="A235" s="195">
        <f t="shared" si="29"/>
        <v>220</v>
      </c>
      <c r="B235" s="116" t="str">
        <f t="shared" si="27"/>
        <v>0DC</v>
      </c>
      <c r="C235" s="48"/>
      <c r="D235" s="28"/>
      <c r="E235" s="53" t="s">
        <v>74</v>
      </c>
      <c r="F235" s="237" t="str">
        <f>Configuration!B64</f>
        <v>OatStaticOffsetStep</v>
      </c>
      <c r="G235" s="203"/>
      <c r="H235" s="84">
        <f t="shared" si="28"/>
        <v>3</v>
      </c>
      <c r="I235" s="81"/>
    </row>
    <row r="236" spans="1:9" ht="15.75" customHeight="1">
      <c r="A236" s="195">
        <f t="shared" si="29"/>
        <v>221</v>
      </c>
      <c r="B236" s="116" t="str">
        <f t="shared" si="27"/>
        <v>0DD</v>
      </c>
      <c r="C236" s="48"/>
      <c r="D236" s="28"/>
      <c r="E236" s="53" t="s">
        <v>74</v>
      </c>
      <c r="F236" s="237" t="str">
        <f>Configuration!B65</f>
        <v>StaticTimeBasePar</v>
      </c>
      <c r="G236" s="203"/>
      <c r="H236" s="84">
        <f t="shared" si="28"/>
        <v>10</v>
      </c>
      <c r="I236" s="81"/>
    </row>
    <row r="237" spans="1:9" ht="16.5" customHeight="1">
      <c r="A237" s="195">
        <f t="shared" si="29"/>
        <v>222</v>
      </c>
      <c r="B237" s="116" t="str">
        <f t="shared" si="27"/>
        <v>0DE</v>
      </c>
      <c r="C237" s="48"/>
      <c r="D237" s="28"/>
      <c r="E237" s="53" t="s">
        <v>74</v>
      </c>
      <c r="F237" s="237" t="str">
        <f>Configuration!B66</f>
        <v>Reserve32</v>
      </c>
      <c r="G237" s="203"/>
      <c r="H237" s="84">
        <f t="shared" si="28"/>
        <v>0</v>
      </c>
      <c r="I237" s="81"/>
    </row>
    <row r="238" spans="1:9" ht="15.75" customHeight="1">
      <c r="A238" s="195">
        <f t="shared" si="29"/>
        <v>223</v>
      </c>
      <c r="B238" s="116" t="str">
        <f t="shared" si="27"/>
        <v>0DF</v>
      </c>
      <c r="C238" s="48"/>
      <c r="D238" s="28"/>
      <c r="E238" s="53" t="s">
        <v>73</v>
      </c>
      <c r="F238" s="237" t="str">
        <f>Configuration!B67</f>
        <v>Reserve33</v>
      </c>
      <c r="G238" s="203"/>
      <c r="H238" s="84">
        <f t="shared" si="28"/>
        <v>1</v>
      </c>
      <c r="I238" s="81"/>
    </row>
    <row r="239" spans="1:9" ht="15.75" customHeight="1">
      <c r="A239" s="195">
        <f t="shared" si="29"/>
        <v>224</v>
      </c>
      <c r="B239" s="116" t="str">
        <f t="shared" si="27"/>
        <v>0E0</v>
      </c>
      <c r="C239" s="48"/>
      <c r="D239" s="28"/>
      <c r="E239" s="53" t="s">
        <v>74</v>
      </c>
      <c r="F239" s="237" t="str">
        <f>Configuration!B68</f>
        <v>Reserve34</v>
      </c>
      <c r="G239" s="203"/>
      <c r="H239" s="84">
        <f t="shared" si="28"/>
        <v>2</v>
      </c>
      <c r="I239" s="81"/>
    </row>
    <row r="240" spans="1:9" ht="15.75" customHeight="1">
      <c r="A240" s="195">
        <f t="shared" si="29"/>
        <v>225</v>
      </c>
      <c r="B240" s="116" t="str">
        <f t="shared" si="27"/>
        <v>0E1</v>
      </c>
      <c r="C240" s="48"/>
      <c r="D240" s="28"/>
      <c r="E240" s="53" t="s">
        <v>73</v>
      </c>
      <c r="F240" s="237" t="str">
        <f>Configuration!B69</f>
        <v>Reserve35</v>
      </c>
      <c r="G240" s="203"/>
      <c r="H240" s="84">
        <f t="shared" si="28"/>
        <v>3</v>
      </c>
      <c r="I240" s="81"/>
    </row>
    <row r="241" spans="1:9" ht="15.75" customHeight="1">
      <c r="A241" s="195">
        <f t="shared" si="29"/>
        <v>226</v>
      </c>
      <c r="B241" s="116" t="str">
        <f t="shared" si="27"/>
        <v>0E2</v>
      </c>
      <c r="C241" s="48"/>
      <c r="D241" s="28"/>
      <c r="E241" s="53" t="s">
        <v>73</v>
      </c>
      <c r="F241" s="237" t="str">
        <f>Configuration!B70</f>
        <v>Reserve36</v>
      </c>
      <c r="G241" s="203"/>
      <c r="H241" s="84">
        <f t="shared" si="28"/>
        <v>1</v>
      </c>
      <c r="I241" s="81"/>
    </row>
    <row r="242" spans="1:9" ht="15.75" customHeight="1">
      <c r="A242" s="195">
        <f t="shared" si="29"/>
        <v>227</v>
      </c>
      <c r="B242" s="116" t="str">
        <f t="shared" si="27"/>
        <v>0E3</v>
      </c>
      <c r="C242" s="48"/>
      <c r="D242" s="28"/>
      <c r="E242" s="53" t="s">
        <v>73</v>
      </c>
      <c r="F242" s="237" t="str">
        <f>Configuration!B71</f>
        <v>Reserve37</v>
      </c>
      <c r="G242" s="117"/>
      <c r="H242" s="84">
        <f t="shared" si="28"/>
        <v>9</v>
      </c>
      <c r="I242" s="81"/>
    </row>
    <row r="243" spans="1:9" ht="15.75" customHeight="1" thickBot="1">
      <c r="A243" s="195">
        <f t="shared" si="29"/>
        <v>228</v>
      </c>
      <c r="B243" s="116" t="str">
        <f t="shared" si="27"/>
        <v>0E4</v>
      </c>
      <c r="C243" s="48"/>
      <c r="D243" s="28"/>
      <c r="E243" s="53" t="s">
        <v>73</v>
      </c>
      <c r="F243" s="237" t="str">
        <f>Configuration!B72</f>
        <v>Reserve38</v>
      </c>
      <c r="G243" s="117"/>
      <c r="H243" s="84">
        <f t="shared" si="28"/>
        <v>20</v>
      </c>
      <c r="I243" s="81"/>
    </row>
    <row r="244" spans="1:9">
      <c r="A244" s="195">
        <f t="shared" si="29"/>
        <v>229</v>
      </c>
      <c r="B244" s="116" t="str">
        <f t="shared" si="27"/>
        <v>0E5</v>
      </c>
      <c r="C244" s="188" t="s">
        <v>16</v>
      </c>
      <c r="D244" s="250" t="s">
        <v>16</v>
      </c>
      <c r="E244" s="251"/>
      <c r="F244" s="252" t="s">
        <v>24</v>
      </c>
      <c r="G244" s="253" t="s">
        <v>21</v>
      </c>
      <c r="H244" s="236" t="str">
        <f t="shared" ref="H244:H283" si="30">Fill</f>
        <v>FF</v>
      </c>
      <c r="I244" s="52"/>
    </row>
    <row r="245" spans="1:9">
      <c r="A245" s="195">
        <f t="shared" si="29"/>
        <v>230</v>
      </c>
      <c r="B245" s="116" t="str">
        <f t="shared" si="27"/>
        <v>0E6</v>
      </c>
      <c r="C245" s="50"/>
      <c r="D245" s="111"/>
      <c r="E245" s="113"/>
      <c r="F245" s="114"/>
      <c r="G245" s="181">
        <v>1</v>
      </c>
      <c r="H245" s="183" t="str">
        <f t="shared" si="30"/>
        <v>FF</v>
      </c>
      <c r="I245" s="52"/>
    </row>
    <row r="246" spans="1:9">
      <c r="A246" s="195">
        <f t="shared" si="29"/>
        <v>231</v>
      </c>
      <c r="B246" s="116" t="str">
        <f t="shared" ref="B246:B309" si="31">DEC2HEX(A246,3)</f>
        <v>0E7</v>
      </c>
      <c r="C246" s="50"/>
      <c r="D246" s="111"/>
      <c r="E246" s="113"/>
      <c r="F246" s="114"/>
      <c r="G246" s="181"/>
      <c r="H246" s="183" t="str">
        <f t="shared" si="30"/>
        <v>FF</v>
      </c>
      <c r="I246" s="112"/>
    </row>
    <row r="247" spans="1:9">
      <c r="A247" s="195">
        <f t="shared" si="29"/>
        <v>232</v>
      </c>
      <c r="B247" s="116" t="str">
        <f t="shared" si="31"/>
        <v>0E8</v>
      </c>
      <c r="C247" s="50"/>
      <c r="D247" s="111"/>
      <c r="E247" s="113"/>
      <c r="F247" s="114"/>
      <c r="G247" s="181"/>
      <c r="H247" s="183" t="str">
        <f t="shared" si="30"/>
        <v>FF</v>
      </c>
      <c r="I247" s="112"/>
    </row>
    <row r="248" spans="1:9">
      <c r="A248" s="195">
        <f t="shared" si="29"/>
        <v>233</v>
      </c>
      <c r="B248" s="116" t="str">
        <f t="shared" si="31"/>
        <v>0E9</v>
      </c>
      <c r="C248" s="50"/>
      <c r="D248" s="111"/>
      <c r="E248" s="113"/>
      <c r="F248" s="114"/>
      <c r="G248" s="181"/>
      <c r="H248" s="183" t="str">
        <f t="shared" si="30"/>
        <v>FF</v>
      </c>
      <c r="I248" s="112"/>
    </row>
    <row r="249" spans="1:9">
      <c r="A249" s="195">
        <f t="shared" si="29"/>
        <v>234</v>
      </c>
      <c r="B249" s="116" t="str">
        <f t="shared" si="31"/>
        <v>0EA</v>
      </c>
      <c r="C249" s="50"/>
      <c r="D249" s="111"/>
      <c r="E249" s="113"/>
      <c r="F249" s="114"/>
      <c r="G249" s="181"/>
      <c r="H249" s="183" t="str">
        <f t="shared" si="30"/>
        <v>FF</v>
      </c>
      <c r="I249" s="124"/>
    </row>
    <row r="250" spans="1:9">
      <c r="A250" s="195">
        <f t="shared" si="29"/>
        <v>235</v>
      </c>
      <c r="B250" s="116" t="str">
        <f t="shared" si="31"/>
        <v>0EB</v>
      </c>
      <c r="C250" s="50"/>
      <c r="D250" s="111"/>
      <c r="E250" s="113"/>
      <c r="F250" s="114"/>
      <c r="G250" s="181"/>
      <c r="H250" s="183" t="str">
        <f t="shared" si="30"/>
        <v>FF</v>
      </c>
      <c r="I250" s="52"/>
    </row>
    <row r="251" spans="1:9">
      <c r="A251" s="195">
        <f t="shared" si="29"/>
        <v>236</v>
      </c>
      <c r="B251" s="116" t="str">
        <f t="shared" si="31"/>
        <v>0EC</v>
      </c>
      <c r="C251" s="50"/>
      <c r="D251" s="111"/>
      <c r="E251" s="113"/>
      <c r="F251" s="114"/>
      <c r="G251" s="181"/>
      <c r="H251" s="183" t="str">
        <f t="shared" si="30"/>
        <v>FF</v>
      </c>
      <c r="I251" s="52"/>
    </row>
    <row r="252" spans="1:9">
      <c r="A252" s="195">
        <f t="shared" si="29"/>
        <v>237</v>
      </c>
      <c r="B252" s="116" t="str">
        <f t="shared" si="31"/>
        <v>0ED</v>
      </c>
      <c r="C252" s="50"/>
      <c r="D252" s="111"/>
      <c r="E252" s="113"/>
      <c r="F252" s="114"/>
      <c r="G252" s="181"/>
      <c r="H252" s="183" t="str">
        <f t="shared" si="30"/>
        <v>FF</v>
      </c>
      <c r="I252" s="52"/>
    </row>
    <row r="253" spans="1:9">
      <c r="A253" s="195">
        <f t="shared" si="29"/>
        <v>238</v>
      </c>
      <c r="B253" s="116" t="str">
        <f t="shared" si="31"/>
        <v>0EE</v>
      </c>
      <c r="C253" s="50"/>
      <c r="D253" s="111"/>
      <c r="E253" s="113"/>
      <c r="F253" s="114"/>
      <c r="G253" s="181"/>
      <c r="H253" s="183" t="str">
        <f t="shared" si="30"/>
        <v>FF</v>
      </c>
      <c r="I253" s="52"/>
    </row>
    <row r="254" spans="1:9">
      <c r="A254" s="195">
        <f t="shared" si="29"/>
        <v>239</v>
      </c>
      <c r="B254" s="116" t="str">
        <f t="shared" si="31"/>
        <v>0EF</v>
      </c>
      <c r="C254" s="50"/>
      <c r="D254" s="111"/>
      <c r="E254" s="113"/>
      <c r="F254" s="114"/>
      <c r="G254" s="181"/>
      <c r="H254" s="183" t="str">
        <f t="shared" si="30"/>
        <v>FF</v>
      </c>
      <c r="I254" s="52"/>
    </row>
    <row r="255" spans="1:9">
      <c r="A255" s="195">
        <f t="shared" si="29"/>
        <v>240</v>
      </c>
      <c r="B255" s="116" t="str">
        <f t="shared" si="31"/>
        <v>0F0</v>
      </c>
      <c r="C255" s="50"/>
      <c r="D255" s="111"/>
      <c r="E255" s="113"/>
      <c r="F255" s="114"/>
      <c r="G255" s="181"/>
      <c r="H255" s="183" t="str">
        <f t="shared" si="30"/>
        <v>FF</v>
      </c>
      <c r="I255" s="52"/>
    </row>
    <row r="256" spans="1:9">
      <c r="A256" s="195">
        <f t="shared" si="29"/>
        <v>241</v>
      </c>
      <c r="B256" s="116" t="str">
        <f t="shared" si="31"/>
        <v>0F1</v>
      </c>
      <c r="C256" s="50"/>
      <c r="D256" s="111"/>
      <c r="E256" s="113"/>
      <c r="F256" s="114"/>
      <c r="G256" s="181"/>
      <c r="H256" s="183" t="str">
        <f t="shared" si="30"/>
        <v>FF</v>
      </c>
      <c r="I256" s="52"/>
    </row>
    <row r="257" spans="1:9">
      <c r="A257" s="195">
        <f t="shared" si="29"/>
        <v>242</v>
      </c>
      <c r="B257" s="116" t="str">
        <f t="shared" si="31"/>
        <v>0F2</v>
      </c>
      <c r="C257" s="50"/>
      <c r="D257" s="111"/>
      <c r="E257" s="113"/>
      <c r="F257" s="114"/>
      <c r="G257" s="181"/>
      <c r="H257" s="183" t="str">
        <f t="shared" si="30"/>
        <v>FF</v>
      </c>
      <c r="I257" s="52"/>
    </row>
    <row r="258" spans="1:9">
      <c r="A258" s="195">
        <f t="shared" si="29"/>
        <v>243</v>
      </c>
      <c r="B258" s="116" t="str">
        <f t="shared" si="31"/>
        <v>0F3</v>
      </c>
      <c r="C258" s="50"/>
      <c r="D258" s="111"/>
      <c r="E258" s="113"/>
      <c r="F258" s="114"/>
      <c r="G258" s="181"/>
      <c r="H258" s="183" t="str">
        <f t="shared" si="30"/>
        <v>FF</v>
      </c>
      <c r="I258" s="52"/>
    </row>
    <row r="259" spans="1:9">
      <c r="A259" s="195">
        <f t="shared" si="29"/>
        <v>244</v>
      </c>
      <c r="B259" s="116" t="str">
        <f t="shared" si="31"/>
        <v>0F4</v>
      </c>
      <c r="C259" s="50"/>
      <c r="D259" s="111"/>
      <c r="E259" s="113"/>
      <c r="F259" s="114"/>
      <c r="G259" s="181"/>
      <c r="H259" s="183" t="str">
        <f t="shared" si="30"/>
        <v>FF</v>
      </c>
      <c r="I259" s="52"/>
    </row>
    <row r="260" spans="1:9">
      <c r="A260" s="195">
        <f t="shared" si="29"/>
        <v>245</v>
      </c>
      <c r="B260" s="116" t="str">
        <f t="shared" si="31"/>
        <v>0F5</v>
      </c>
      <c r="C260" s="50"/>
      <c r="D260" s="111"/>
      <c r="E260" s="113"/>
      <c r="F260" s="114"/>
      <c r="G260" s="181"/>
      <c r="H260" s="183" t="str">
        <f t="shared" si="30"/>
        <v>FF</v>
      </c>
      <c r="I260" s="52"/>
    </row>
    <row r="261" spans="1:9" ht="13.5" thickBot="1">
      <c r="A261" s="195">
        <f t="shared" si="29"/>
        <v>246</v>
      </c>
      <c r="B261" s="116" t="str">
        <f t="shared" si="31"/>
        <v>0F6</v>
      </c>
      <c r="C261" s="50"/>
      <c r="D261" s="111"/>
      <c r="E261" s="113"/>
      <c r="F261" s="114"/>
      <c r="G261" s="181"/>
      <c r="H261" s="183" t="str">
        <f t="shared" si="30"/>
        <v>FF</v>
      </c>
      <c r="I261" s="52"/>
    </row>
    <row r="262" spans="1:9">
      <c r="A262" s="195">
        <f t="shared" si="29"/>
        <v>247</v>
      </c>
      <c r="B262" s="116" t="str">
        <f t="shared" si="31"/>
        <v>0F7</v>
      </c>
      <c r="C262" s="50"/>
      <c r="D262" s="111"/>
      <c r="E262" s="113"/>
      <c r="F262" s="114"/>
      <c r="G262" s="181"/>
      <c r="H262" s="183" t="str">
        <f t="shared" si="30"/>
        <v>FF</v>
      </c>
      <c r="I262" s="61"/>
    </row>
    <row r="263" spans="1:9" ht="13.5" thickBot="1">
      <c r="A263" s="195">
        <f t="shared" si="29"/>
        <v>248</v>
      </c>
      <c r="B263" s="116" t="str">
        <f t="shared" si="31"/>
        <v>0F8</v>
      </c>
      <c r="C263" s="50"/>
      <c r="D263" s="111"/>
      <c r="E263" s="113"/>
      <c r="F263" s="114"/>
      <c r="G263" s="181"/>
      <c r="H263" s="183" t="str">
        <f t="shared" si="30"/>
        <v>FF</v>
      </c>
      <c r="I263" s="177"/>
    </row>
    <row r="264" spans="1:9">
      <c r="A264" s="195">
        <f t="shared" si="29"/>
        <v>249</v>
      </c>
      <c r="B264" s="116" t="str">
        <f t="shared" si="31"/>
        <v>0F9</v>
      </c>
      <c r="C264" s="50"/>
      <c r="D264" s="111"/>
      <c r="E264" s="113"/>
      <c r="F264" s="114"/>
      <c r="G264" s="181"/>
      <c r="H264" s="183" t="str">
        <f t="shared" si="30"/>
        <v>FF</v>
      </c>
      <c r="I264" s="52"/>
    </row>
    <row r="265" spans="1:9">
      <c r="A265" s="195">
        <f t="shared" si="29"/>
        <v>250</v>
      </c>
      <c r="B265" s="116" t="str">
        <f t="shared" si="31"/>
        <v>0FA</v>
      </c>
      <c r="C265" s="50"/>
      <c r="D265" s="111"/>
      <c r="E265" s="113"/>
      <c r="F265" s="114"/>
      <c r="G265" s="181"/>
      <c r="H265" s="183" t="str">
        <f t="shared" si="30"/>
        <v>FF</v>
      </c>
      <c r="I265" s="52"/>
    </row>
    <row r="266" spans="1:9">
      <c r="A266" s="195">
        <f t="shared" si="29"/>
        <v>251</v>
      </c>
      <c r="B266" s="116" t="str">
        <f t="shared" si="31"/>
        <v>0FB</v>
      </c>
      <c r="C266" s="50"/>
      <c r="D266" s="111"/>
      <c r="E266" s="113"/>
      <c r="F266" s="114"/>
      <c r="G266" s="181"/>
      <c r="H266" s="183" t="str">
        <f t="shared" si="30"/>
        <v>FF</v>
      </c>
      <c r="I266" s="52"/>
    </row>
    <row r="267" spans="1:9">
      <c r="A267" s="195">
        <f t="shared" si="29"/>
        <v>252</v>
      </c>
      <c r="B267" s="116" t="str">
        <f t="shared" si="31"/>
        <v>0FC</v>
      </c>
      <c r="C267" s="50"/>
      <c r="D267" s="111"/>
      <c r="E267" s="113"/>
      <c r="F267" s="114"/>
      <c r="G267" s="181"/>
      <c r="H267" s="183" t="str">
        <f t="shared" si="30"/>
        <v>FF</v>
      </c>
      <c r="I267" s="52"/>
    </row>
    <row r="268" spans="1:9">
      <c r="A268" s="195">
        <f t="shared" si="29"/>
        <v>253</v>
      </c>
      <c r="B268" s="116" t="str">
        <f t="shared" si="31"/>
        <v>0FD</v>
      </c>
      <c r="C268" s="50"/>
      <c r="D268" s="111"/>
      <c r="E268" s="113"/>
      <c r="F268" s="114"/>
      <c r="G268" s="181"/>
      <c r="H268" s="183" t="str">
        <f t="shared" si="30"/>
        <v>FF</v>
      </c>
      <c r="I268" s="52"/>
    </row>
    <row r="269" spans="1:9">
      <c r="A269" s="195">
        <f t="shared" si="29"/>
        <v>254</v>
      </c>
      <c r="B269" s="116" t="str">
        <f t="shared" si="31"/>
        <v>0FE</v>
      </c>
      <c r="C269" s="50"/>
      <c r="D269" s="111"/>
      <c r="E269" s="113"/>
      <c r="F269" s="114"/>
      <c r="G269" s="181"/>
      <c r="H269" s="183" t="str">
        <f t="shared" si="30"/>
        <v>FF</v>
      </c>
      <c r="I269" s="52"/>
    </row>
    <row r="270" spans="1:9">
      <c r="A270" s="195">
        <f t="shared" si="29"/>
        <v>255</v>
      </c>
      <c r="B270" s="116" t="str">
        <f t="shared" si="31"/>
        <v>0FF</v>
      </c>
      <c r="C270" s="50"/>
      <c r="D270" s="111"/>
      <c r="E270" s="113"/>
      <c r="F270" s="114"/>
      <c r="G270" s="181"/>
      <c r="H270" s="183" t="str">
        <f t="shared" si="30"/>
        <v>FF</v>
      </c>
      <c r="I270" s="52"/>
    </row>
    <row r="271" spans="1:9" ht="13.5" thickBot="1">
      <c r="A271" s="195">
        <f t="shared" si="29"/>
        <v>256</v>
      </c>
      <c r="B271" s="116" t="str">
        <f t="shared" si="31"/>
        <v>100</v>
      </c>
      <c r="C271" s="50"/>
      <c r="D271" s="111"/>
      <c r="E271" s="113"/>
      <c r="F271" s="114"/>
      <c r="G271" s="181"/>
      <c r="H271" s="183" t="str">
        <f t="shared" si="30"/>
        <v>FF</v>
      </c>
      <c r="I271" s="52"/>
    </row>
    <row r="272" spans="1:9">
      <c r="A272" s="195">
        <f t="shared" si="29"/>
        <v>257</v>
      </c>
      <c r="B272" s="116" t="str">
        <f t="shared" si="31"/>
        <v>101</v>
      </c>
      <c r="C272" s="50"/>
      <c r="D272" s="111"/>
      <c r="E272" s="113"/>
      <c r="F272" s="114"/>
      <c r="G272" s="181"/>
      <c r="H272" s="183" t="str">
        <f t="shared" si="30"/>
        <v>FF</v>
      </c>
      <c r="I272" s="61"/>
    </row>
    <row r="273" spans="1:9" ht="13.5" thickBot="1">
      <c r="A273" s="195">
        <f t="shared" si="29"/>
        <v>258</v>
      </c>
      <c r="B273" s="116" t="str">
        <f t="shared" si="31"/>
        <v>102</v>
      </c>
      <c r="C273" s="50"/>
      <c r="D273" s="111"/>
      <c r="E273" s="113"/>
      <c r="F273" s="114"/>
      <c r="G273" s="181"/>
      <c r="H273" s="183" t="str">
        <f t="shared" si="30"/>
        <v>FF</v>
      </c>
      <c r="I273" s="177"/>
    </row>
    <row r="274" spans="1:9">
      <c r="A274" s="195">
        <f t="shared" si="29"/>
        <v>259</v>
      </c>
      <c r="B274" s="116" t="str">
        <f t="shared" si="31"/>
        <v>103</v>
      </c>
      <c r="C274" s="50"/>
      <c r="D274" s="111"/>
      <c r="E274" s="113"/>
      <c r="F274" s="114"/>
      <c r="G274" s="181"/>
      <c r="H274" s="183" t="str">
        <f t="shared" si="30"/>
        <v>FF</v>
      </c>
      <c r="I274" s="52"/>
    </row>
    <row r="275" spans="1:9">
      <c r="A275" s="195">
        <f t="shared" si="29"/>
        <v>260</v>
      </c>
      <c r="B275" s="116" t="str">
        <f t="shared" si="31"/>
        <v>104</v>
      </c>
      <c r="C275" s="50"/>
      <c r="D275" s="111"/>
      <c r="E275" s="113"/>
      <c r="F275" s="114"/>
      <c r="G275" s="181"/>
      <c r="H275" s="183" t="str">
        <f t="shared" si="30"/>
        <v>FF</v>
      </c>
      <c r="I275" s="52"/>
    </row>
    <row r="276" spans="1:9">
      <c r="A276" s="195">
        <f t="shared" si="29"/>
        <v>261</v>
      </c>
      <c r="B276" s="116" t="str">
        <f t="shared" si="31"/>
        <v>105</v>
      </c>
      <c r="C276" s="50"/>
      <c r="D276" s="111"/>
      <c r="E276" s="113"/>
      <c r="F276" s="114"/>
      <c r="G276" s="181"/>
      <c r="H276" s="183" t="str">
        <f t="shared" si="30"/>
        <v>FF</v>
      </c>
      <c r="I276" s="52"/>
    </row>
    <row r="277" spans="1:9">
      <c r="A277" s="195">
        <f t="shared" si="29"/>
        <v>262</v>
      </c>
      <c r="B277" s="116" t="str">
        <f t="shared" si="31"/>
        <v>106</v>
      </c>
      <c r="C277" s="50"/>
      <c r="D277" s="111"/>
      <c r="E277" s="113"/>
      <c r="F277" s="114"/>
      <c r="G277" s="181"/>
      <c r="H277" s="183" t="str">
        <f t="shared" si="30"/>
        <v>FF</v>
      </c>
      <c r="I277" s="52"/>
    </row>
    <row r="278" spans="1:9">
      <c r="A278" s="195">
        <f t="shared" si="29"/>
        <v>263</v>
      </c>
      <c r="B278" s="116" t="str">
        <f t="shared" si="31"/>
        <v>107</v>
      </c>
      <c r="C278" s="50"/>
      <c r="D278" s="111"/>
      <c r="E278" s="113"/>
      <c r="F278" s="114"/>
      <c r="G278" s="181"/>
      <c r="H278" s="183" t="str">
        <f t="shared" si="30"/>
        <v>FF</v>
      </c>
      <c r="I278" s="52"/>
    </row>
    <row r="279" spans="1:9">
      <c r="A279" s="195">
        <f t="shared" si="29"/>
        <v>264</v>
      </c>
      <c r="B279" s="116" t="str">
        <f t="shared" si="31"/>
        <v>108</v>
      </c>
      <c r="C279" s="50"/>
      <c r="D279" s="111"/>
      <c r="E279" s="113"/>
      <c r="F279" s="114"/>
      <c r="G279" s="181"/>
      <c r="H279" s="183" t="str">
        <f t="shared" si="30"/>
        <v>FF</v>
      </c>
      <c r="I279" s="52"/>
    </row>
    <row r="280" spans="1:9">
      <c r="A280" s="195">
        <f t="shared" si="29"/>
        <v>265</v>
      </c>
      <c r="B280" s="116" t="str">
        <f t="shared" si="31"/>
        <v>109</v>
      </c>
      <c r="C280" s="50"/>
      <c r="D280" s="111"/>
      <c r="E280" s="113"/>
      <c r="F280" s="114"/>
      <c r="G280" s="181"/>
      <c r="H280" s="183" t="str">
        <f t="shared" si="30"/>
        <v>FF</v>
      </c>
      <c r="I280" s="52"/>
    </row>
    <row r="281" spans="1:9">
      <c r="A281" s="195">
        <f t="shared" si="29"/>
        <v>266</v>
      </c>
      <c r="B281" s="116" t="str">
        <f t="shared" si="31"/>
        <v>10A</v>
      </c>
      <c r="C281" s="50"/>
      <c r="D281" s="111"/>
      <c r="E281" s="113"/>
      <c r="F281" s="114"/>
      <c r="G281" s="181"/>
      <c r="H281" s="183" t="str">
        <f t="shared" si="30"/>
        <v>FF</v>
      </c>
      <c r="I281" s="52"/>
    </row>
    <row r="282" spans="1:9">
      <c r="A282" s="195">
        <f t="shared" si="29"/>
        <v>267</v>
      </c>
      <c r="B282" s="116" t="str">
        <f t="shared" si="31"/>
        <v>10B</v>
      </c>
      <c r="C282" s="50"/>
      <c r="D282" s="111"/>
      <c r="E282" s="113"/>
      <c r="F282" s="114"/>
      <c r="G282" s="181"/>
      <c r="H282" s="183" t="str">
        <f t="shared" si="30"/>
        <v>FF</v>
      </c>
      <c r="I282" s="52"/>
    </row>
    <row r="283" spans="1:9" ht="13.5" thickBot="1">
      <c r="A283" s="195">
        <f t="shared" ref="A283:A346" si="32">A282+(ROW()-ROW(A282))</f>
        <v>268</v>
      </c>
      <c r="B283" s="116" t="str">
        <f t="shared" si="31"/>
        <v>10C</v>
      </c>
      <c r="C283" s="50"/>
      <c r="D283" s="111"/>
      <c r="E283" s="113"/>
      <c r="F283" s="114"/>
      <c r="G283" s="181"/>
      <c r="H283" s="183" t="str">
        <f t="shared" si="30"/>
        <v>FF</v>
      </c>
      <c r="I283" s="52"/>
    </row>
    <row r="284" spans="1:9">
      <c r="A284" s="195">
        <f t="shared" si="32"/>
        <v>269</v>
      </c>
      <c r="B284" s="116" t="str">
        <f t="shared" si="31"/>
        <v>10D</v>
      </c>
      <c r="C284" s="50"/>
      <c r="D284" s="111"/>
      <c r="E284" s="113"/>
      <c r="F284" s="114"/>
      <c r="G284" s="181"/>
      <c r="H284" s="183" t="str">
        <f t="shared" ref="H284:H392" si="33">Fill</f>
        <v>FF</v>
      </c>
      <c r="I284" s="61"/>
    </row>
    <row r="285" spans="1:9" ht="13.5" thickBot="1">
      <c r="A285" s="195">
        <f t="shared" si="32"/>
        <v>270</v>
      </c>
      <c r="B285" s="116" t="str">
        <f t="shared" si="31"/>
        <v>10E</v>
      </c>
      <c r="C285" s="50"/>
      <c r="D285" s="111"/>
      <c r="E285" s="113"/>
      <c r="F285" s="114"/>
      <c r="G285" s="181"/>
      <c r="H285" s="183" t="str">
        <f t="shared" si="33"/>
        <v>FF</v>
      </c>
      <c r="I285" s="67"/>
    </row>
    <row r="286" spans="1:9">
      <c r="A286" s="195">
        <f t="shared" si="32"/>
        <v>271</v>
      </c>
      <c r="B286" s="116" t="str">
        <f t="shared" si="31"/>
        <v>10F</v>
      </c>
      <c r="C286" s="50"/>
      <c r="D286" s="111"/>
      <c r="E286" s="113"/>
      <c r="F286" s="114"/>
      <c r="G286" s="181"/>
      <c r="H286" s="183" t="str">
        <f t="shared" si="33"/>
        <v>FF</v>
      </c>
      <c r="I286" s="100"/>
    </row>
    <row r="287" spans="1:9">
      <c r="A287" s="195">
        <f t="shared" si="32"/>
        <v>272</v>
      </c>
      <c r="B287" s="116" t="str">
        <f t="shared" si="31"/>
        <v>110</v>
      </c>
      <c r="C287" s="50"/>
      <c r="D287" s="111"/>
      <c r="E287" s="113"/>
      <c r="F287" s="114"/>
      <c r="G287" s="181"/>
      <c r="H287" s="183" t="str">
        <f t="shared" si="33"/>
        <v>FF</v>
      </c>
      <c r="I287" s="112"/>
    </row>
    <row r="288" spans="1:9">
      <c r="A288" s="195">
        <f t="shared" si="32"/>
        <v>273</v>
      </c>
      <c r="B288" s="116" t="str">
        <f t="shared" si="31"/>
        <v>111</v>
      </c>
      <c r="C288" s="50"/>
      <c r="D288" s="111"/>
      <c r="E288" s="113"/>
      <c r="F288" s="114"/>
      <c r="G288" s="181"/>
      <c r="H288" s="183" t="str">
        <f t="shared" si="33"/>
        <v>FF</v>
      </c>
      <c r="I288" s="112"/>
    </row>
    <row r="289" spans="1:9">
      <c r="A289" s="195">
        <f t="shared" si="32"/>
        <v>274</v>
      </c>
      <c r="B289" s="116" t="str">
        <f t="shared" si="31"/>
        <v>112</v>
      </c>
      <c r="C289" s="50"/>
      <c r="D289" s="111"/>
      <c r="E289" s="113"/>
      <c r="F289" s="114"/>
      <c r="G289" s="181"/>
      <c r="H289" s="183" t="str">
        <f t="shared" si="33"/>
        <v>FF</v>
      </c>
      <c r="I289" s="112"/>
    </row>
    <row r="290" spans="1:9">
      <c r="A290" s="195">
        <f t="shared" si="32"/>
        <v>275</v>
      </c>
      <c r="B290" s="116" t="str">
        <f t="shared" si="31"/>
        <v>113</v>
      </c>
      <c r="C290" s="50"/>
      <c r="D290" s="111"/>
      <c r="E290" s="113"/>
      <c r="F290" s="114"/>
      <c r="G290" s="181"/>
      <c r="H290" s="183" t="str">
        <f t="shared" si="33"/>
        <v>FF</v>
      </c>
      <c r="I290" s="112"/>
    </row>
    <row r="291" spans="1:9">
      <c r="A291" s="195">
        <f t="shared" si="32"/>
        <v>276</v>
      </c>
      <c r="B291" s="116" t="str">
        <f t="shared" si="31"/>
        <v>114</v>
      </c>
      <c r="C291" s="50"/>
      <c r="D291" s="111"/>
      <c r="E291" s="113"/>
      <c r="F291" s="114"/>
      <c r="G291" s="181"/>
      <c r="H291" s="183" t="str">
        <f t="shared" si="33"/>
        <v>FF</v>
      </c>
      <c r="I291" s="112"/>
    </row>
    <row r="292" spans="1:9">
      <c r="A292" s="195">
        <f t="shared" si="32"/>
        <v>277</v>
      </c>
      <c r="B292" s="116" t="str">
        <f t="shared" si="31"/>
        <v>115</v>
      </c>
      <c r="C292" s="50"/>
      <c r="D292" s="111"/>
      <c r="E292" s="113"/>
      <c r="F292" s="114"/>
      <c r="G292" s="181"/>
      <c r="H292" s="183" t="str">
        <f t="shared" si="33"/>
        <v>FF</v>
      </c>
      <c r="I292" s="112"/>
    </row>
    <row r="293" spans="1:9">
      <c r="A293" s="195">
        <f t="shared" si="32"/>
        <v>278</v>
      </c>
      <c r="B293" s="116" t="str">
        <f t="shared" si="31"/>
        <v>116</v>
      </c>
      <c r="C293" s="50"/>
      <c r="D293" s="111"/>
      <c r="E293" s="113"/>
      <c r="F293" s="114"/>
      <c r="G293" s="181"/>
      <c r="H293" s="183" t="str">
        <f t="shared" si="33"/>
        <v>FF</v>
      </c>
      <c r="I293" s="112"/>
    </row>
    <row r="294" spans="1:9">
      <c r="A294" s="195">
        <f t="shared" si="32"/>
        <v>279</v>
      </c>
      <c r="B294" s="116" t="str">
        <f t="shared" si="31"/>
        <v>117</v>
      </c>
      <c r="C294" s="50"/>
      <c r="D294" s="111"/>
      <c r="E294" s="113"/>
      <c r="F294" s="114"/>
      <c r="G294" s="181"/>
      <c r="H294" s="183" t="str">
        <f t="shared" si="33"/>
        <v>FF</v>
      </c>
      <c r="I294" s="112"/>
    </row>
    <row r="295" spans="1:9">
      <c r="A295" s="195">
        <f t="shared" si="32"/>
        <v>280</v>
      </c>
      <c r="B295" s="116" t="str">
        <f t="shared" si="31"/>
        <v>118</v>
      </c>
      <c r="C295" s="50"/>
      <c r="D295" s="111"/>
      <c r="E295" s="113"/>
      <c r="F295" s="114"/>
      <c r="G295" s="181"/>
      <c r="H295" s="183" t="str">
        <f t="shared" si="33"/>
        <v>FF</v>
      </c>
      <c r="I295" s="112"/>
    </row>
    <row r="296" spans="1:9">
      <c r="A296" s="195">
        <f t="shared" si="32"/>
        <v>281</v>
      </c>
      <c r="B296" s="116" t="str">
        <f t="shared" si="31"/>
        <v>119</v>
      </c>
      <c r="C296" s="50"/>
      <c r="D296" s="111"/>
      <c r="E296" s="113"/>
      <c r="F296" s="114"/>
      <c r="G296" s="181"/>
      <c r="H296" s="183" t="str">
        <f t="shared" si="33"/>
        <v>FF</v>
      </c>
      <c r="I296" s="112"/>
    </row>
    <row r="297" spans="1:9">
      <c r="A297" s="195">
        <f t="shared" si="32"/>
        <v>282</v>
      </c>
      <c r="B297" s="116" t="str">
        <f t="shared" si="31"/>
        <v>11A</v>
      </c>
      <c r="C297" s="50"/>
      <c r="D297" s="111"/>
      <c r="E297" s="113"/>
      <c r="F297" s="114"/>
      <c r="G297" s="181"/>
      <c r="H297" s="183" t="str">
        <f t="shared" si="33"/>
        <v>FF</v>
      </c>
      <c r="I297" s="112"/>
    </row>
    <row r="298" spans="1:9">
      <c r="A298" s="195">
        <f t="shared" si="32"/>
        <v>283</v>
      </c>
      <c r="B298" s="116" t="str">
        <f t="shared" si="31"/>
        <v>11B</v>
      </c>
      <c r="C298" s="50"/>
      <c r="D298" s="111"/>
      <c r="E298" s="113"/>
      <c r="F298" s="114"/>
      <c r="G298" s="181"/>
      <c r="H298" s="183" t="str">
        <f t="shared" si="33"/>
        <v>FF</v>
      </c>
      <c r="I298" s="112"/>
    </row>
    <row r="299" spans="1:9">
      <c r="A299" s="195">
        <f t="shared" si="32"/>
        <v>284</v>
      </c>
      <c r="B299" s="116" t="str">
        <f t="shared" si="31"/>
        <v>11C</v>
      </c>
      <c r="C299" s="50"/>
      <c r="D299" s="111"/>
      <c r="E299" s="113"/>
      <c r="F299" s="114"/>
      <c r="G299" s="181"/>
      <c r="H299" s="183" t="str">
        <f t="shared" si="33"/>
        <v>FF</v>
      </c>
      <c r="I299" s="112"/>
    </row>
    <row r="300" spans="1:9">
      <c r="A300" s="195">
        <f t="shared" si="32"/>
        <v>285</v>
      </c>
      <c r="B300" s="116" t="str">
        <f t="shared" si="31"/>
        <v>11D</v>
      </c>
      <c r="C300" s="50"/>
      <c r="D300" s="111"/>
      <c r="E300" s="113"/>
      <c r="F300" s="114"/>
      <c r="G300" s="181"/>
      <c r="H300" s="183" t="str">
        <f t="shared" si="33"/>
        <v>FF</v>
      </c>
      <c r="I300" s="112"/>
    </row>
    <row r="301" spans="1:9" ht="13.5" thickBot="1">
      <c r="A301" s="195">
        <f t="shared" si="32"/>
        <v>286</v>
      </c>
      <c r="B301" s="116" t="str">
        <f t="shared" si="31"/>
        <v>11E</v>
      </c>
      <c r="C301" s="50"/>
      <c r="D301" s="111"/>
      <c r="E301" s="113"/>
      <c r="F301" s="114"/>
      <c r="G301" s="181"/>
      <c r="H301" s="183" t="str">
        <f t="shared" si="33"/>
        <v>FF</v>
      </c>
      <c r="I301" s="124"/>
    </row>
    <row r="302" spans="1:9">
      <c r="A302" s="195">
        <f t="shared" si="32"/>
        <v>287</v>
      </c>
      <c r="B302" s="116" t="str">
        <f t="shared" si="31"/>
        <v>11F</v>
      </c>
      <c r="C302" s="50"/>
      <c r="D302" s="111"/>
      <c r="E302" s="113"/>
      <c r="F302" s="114"/>
      <c r="G302" s="181"/>
      <c r="H302" s="183" t="str">
        <f t="shared" si="33"/>
        <v>FF</v>
      </c>
      <c r="I302" s="61"/>
    </row>
    <row r="303" spans="1:9">
      <c r="A303" s="195">
        <f t="shared" si="32"/>
        <v>288</v>
      </c>
      <c r="B303" s="116" t="str">
        <f t="shared" si="31"/>
        <v>120</v>
      </c>
      <c r="C303" s="50"/>
      <c r="D303" s="111"/>
      <c r="E303" s="113"/>
      <c r="F303" s="114"/>
      <c r="G303" s="181"/>
      <c r="H303" s="183" t="str">
        <f t="shared" si="33"/>
        <v>FF</v>
      </c>
      <c r="I303" s="112"/>
    </row>
    <row r="304" spans="1:9">
      <c r="A304" s="195">
        <f t="shared" si="32"/>
        <v>289</v>
      </c>
      <c r="B304" s="116" t="str">
        <f t="shared" si="31"/>
        <v>121</v>
      </c>
      <c r="C304" s="50"/>
      <c r="D304" s="111"/>
      <c r="E304" s="113"/>
      <c r="F304" s="114"/>
      <c r="G304" s="181"/>
      <c r="H304" s="183" t="str">
        <f t="shared" si="33"/>
        <v>FF</v>
      </c>
      <c r="I304" s="112"/>
    </row>
    <row r="305" spans="1:9">
      <c r="A305" s="195">
        <f t="shared" si="32"/>
        <v>290</v>
      </c>
      <c r="B305" s="116" t="str">
        <f t="shared" si="31"/>
        <v>122</v>
      </c>
      <c r="C305" s="50"/>
      <c r="D305" s="111"/>
      <c r="E305" s="113"/>
      <c r="F305" s="114"/>
      <c r="G305" s="181"/>
      <c r="H305" s="183" t="str">
        <f t="shared" si="33"/>
        <v>FF</v>
      </c>
      <c r="I305" s="112"/>
    </row>
    <row r="306" spans="1:9">
      <c r="A306" s="195">
        <f t="shared" si="32"/>
        <v>291</v>
      </c>
      <c r="B306" s="116" t="str">
        <f t="shared" si="31"/>
        <v>123</v>
      </c>
      <c r="C306" s="50"/>
      <c r="D306" s="111"/>
      <c r="E306" s="113"/>
      <c r="F306" s="114"/>
      <c r="G306" s="181"/>
      <c r="H306" s="183" t="str">
        <f t="shared" si="33"/>
        <v>FF</v>
      </c>
      <c r="I306" s="112"/>
    </row>
    <row r="307" spans="1:9">
      <c r="A307" s="195">
        <f t="shared" si="32"/>
        <v>292</v>
      </c>
      <c r="B307" s="116" t="str">
        <f t="shared" si="31"/>
        <v>124</v>
      </c>
      <c r="C307" s="50"/>
      <c r="D307" s="111"/>
      <c r="E307" s="113"/>
      <c r="F307" s="114"/>
      <c r="G307" s="181"/>
      <c r="H307" s="183" t="str">
        <f t="shared" si="33"/>
        <v>FF</v>
      </c>
      <c r="I307" s="112"/>
    </row>
    <row r="308" spans="1:9">
      <c r="A308" s="195">
        <f t="shared" si="32"/>
        <v>293</v>
      </c>
      <c r="B308" s="116" t="str">
        <f t="shared" si="31"/>
        <v>125</v>
      </c>
      <c r="C308" s="50"/>
      <c r="D308" s="111"/>
      <c r="E308" s="113"/>
      <c r="F308" s="114"/>
      <c r="G308" s="181"/>
      <c r="H308" s="183" t="str">
        <f t="shared" si="33"/>
        <v>FF</v>
      </c>
      <c r="I308" s="112"/>
    </row>
    <row r="309" spans="1:9">
      <c r="A309" s="195">
        <f t="shared" si="32"/>
        <v>294</v>
      </c>
      <c r="B309" s="116" t="str">
        <f t="shared" si="31"/>
        <v>126</v>
      </c>
      <c r="C309" s="50"/>
      <c r="D309" s="111"/>
      <c r="E309" s="113"/>
      <c r="F309" s="114"/>
      <c r="G309" s="181"/>
      <c r="H309" s="183" t="str">
        <f t="shared" si="33"/>
        <v>FF</v>
      </c>
      <c r="I309" s="124"/>
    </row>
    <row r="310" spans="1:9" ht="13.5" thickBot="1">
      <c r="A310" s="195">
        <f t="shared" si="32"/>
        <v>295</v>
      </c>
      <c r="B310" s="116" t="str">
        <f t="shared" ref="B310:B373" si="34">DEC2HEX(A310,3)</f>
        <v>127</v>
      </c>
      <c r="C310" s="50"/>
      <c r="D310" s="111"/>
      <c r="E310" s="113"/>
      <c r="F310" s="114"/>
      <c r="G310" s="181"/>
      <c r="H310" s="183" t="str">
        <f t="shared" si="33"/>
        <v>FF</v>
      </c>
      <c r="I310" s="67"/>
    </row>
    <row r="311" spans="1:9">
      <c r="A311" s="195">
        <f t="shared" si="32"/>
        <v>296</v>
      </c>
      <c r="B311" s="116" t="str">
        <f t="shared" si="34"/>
        <v>128</v>
      </c>
      <c r="C311" s="50"/>
      <c r="D311" s="111"/>
      <c r="E311" s="113"/>
      <c r="F311" s="114"/>
      <c r="G311" s="181"/>
      <c r="H311" s="183" t="str">
        <f t="shared" si="33"/>
        <v>FF</v>
      </c>
      <c r="I311" s="112"/>
    </row>
    <row r="312" spans="1:9">
      <c r="A312" s="195">
        <f t="shared" si="32"/>
        <v>297</v>
      </c>
      <c r="B312" s="116" t="str">
        <f t="shared" si="34"/>
        <v>129</v>
      </c>
      <c r="C312" s="50"/>
      <c r="D312" s="111"/>
      <c r="E312" s="113"/>
      <c r="F312" s="114"/>
      <c r="G312" s="181"/>
      <c r="H312" s="183" t="str">
        <f t="shared" si="33"/>
        <v>FF</v>
      </c>
      <c r="I312" s="112"/>
    </row>
    <row r="313" spans="1:9">
      <c r="A313" s="195">
        <f t="shared" si="32"/>
        <v>298</v>
      </c>
      <c r="B313" s="116" t="str">
        <f t="shared" si="34"/>
        <v>12A</v>
      </c>
      <c r="C313" s="50"/>
      <c r="D313" s="111"/>
      <c r="E313" s="113"/>
      <c r="F313" s="114"/>
      <c r="G313" s="181"/>
      <c r="H313" s="183" t="str">
        <f t="shared" si="33"/>
        <v>FF</v>
      </c>
      <c r="I313" s="112"/>
    </row>
    <row r="314" spans="1:9">
      <c r="A314" s="195">
        <f t="shared" si="32"/>
        <v>299</v>
      </c>
      <c r="B314" s="116" t="str">
        <f t="shared" si="34"/>
        <v>12B</v>
      </c>
      <c r="C314" s="50"/>
      <c r="D314" s="111"/>
      <c r="E314" s="113"/>
      <c r="F314" s="114"/>
      <c r="G314" s="181"/>
      <c r="H314" s="183" t="str">
        <f t="shared" si="33"/>
        <v>FF</v>
      </c>
      <c r="I314" s="112"/>
    </row>
    <row r="315" spans="1:9">
      <c r="A315" s="195">
        <f t="shared" si="32"/>
        <v>300</v>
      </c>
      <c r="B315" s="116" t="str">
        <f t="shared" si="34"/>
        <v>12C</v>
      </c>
      <c r="C315" s="50"/>
      <c r="D315" s="111"/>
      <c r="E315" s="113"/>
      <c r="F315" s="114"/>
      <c r="G315" s="181"/>
      <c r="H315" s="183" t="str">
        <f t="shared" si="33"/>
        <v>FF</v>
      </c>
      <c r="I315" s="112"/>
    </row>
    <row r="316" spans="1:9">
      <c r="A316" s="195">
        <f t="shared" si="32"/>
        <v>301</v>
      </c>
      <c r="B316" s="116" t="str">
        <f t="shared" si="34"/>
        <v>12D</v>
      </c>
      <c r="C316" s="50"/>
      <c r="D316" s="111"/>
      <c r="E316" s="113"/>
      <c r="F316" s="114"/>
      <c r="G316" s="181"/>
      <c r="H316" s="183" t="str">
        <f t="shared" si="33"/>
        <v>FF</v>
      </c>
      <c r="I316" s="112"/>
    </row>
    <row r="317" spans="1:9">
      <c r="A317" s="195">
        <f t="shared" si="32"/>
        <v>302</v>
      </c>
      <c r="B317" s="116" t="str">
        <f t="shared" si="34"/>
        <v>12E</v>
      </c>
      <c r="C317" s="50"/>
      <c r="D317" s="111"/>
      <c r="E317" s="113"/>
      <c r="F317" s="114"/>
      <c r="G317" s="181"/>
      <c r="H317" s="183" t="str">
        <f t="shared" si="33"/>
        <v>FF</v>
      </c>
      <c r="I317" s="112"/>
    </row>
    <row r="318" spans="1:9">
      <c r="A318" s="195">
        <f t="shared" si="32"/>
        <v>303</v>
      </c>
      <c r="B318" s="116" t="str">
        <f t="shared" si="34"/>
        <v>12F</v>
      </c>
      <c r="C318" s="50"/>
      <c r="D318" s="111"/>
      <c r="E318" s="113"/>
      <c r="F318" s="114"/>
      <c r="G318" s="181"/>
      <c r="H318" s="183" t="str">
        <f t="shared" si="33"/>
        <v>FF</v>
      </c>
      <c r="I318" s="112"/>
    </row>
    <row r="319" spans="1:9">
      <c r="A319" s="195">
        <f t="shared" si="32"/>
        <v>304</v>
      </c>
      <c r="B319" s="116" t="str">
        <f t="shared" si="34"/>
        <v>130</v>
      </c>
      <c r="C319" s="50"/>
      <c r="D319" s="111"/>
      <c r="E319" s="113"/>
      <c r="F319" s="114"/>
      <c r="G319" s="181"/>
      <c r="H319" s="183" t="str">
        <f t="shared" si="33"/>
        <v>FF</v>
      </c>
      <c r="I319" s="112"/>
    </row>
    <row r="320" spans="1:9">
      <c r="A320" s="195">
        <f t="shared" si="32"/>
        <v>305</v>
      </c>
      <c r="B320" s="116" t="str">
        <f t="shared" si="34"/>
        <v>131</v>
      </c>
      <c r="C320" s="50"/>
      <c r="D320" s="111"/>
      <c r="E320" s="113"/>
      <c r="F320" s="114"/>
      <c r="G320" s="181"/>
      <c r="H320" s="183" t="str">
        <f t="shared" si="33"/>
        <v>FF</v>
      </c>
      <c r="I320" s="112"/>
    </row>
    <row r="321" spans="1:9">
      <c r="A321" s="195">
        <f t="shared" si="32"/>
        <v>306</v>
      </c>
      <c r="B321" s="116" t="str">
        <f t="shared" si="34"/>
        <v>132</v>
      </c>
      <c r="C321" s="50"/>
      <c r="D321" s="111"/>
      <c r="E321" s="113"/>
      <c r="F321" s="114"/>
      <c r="G321" s="181"/>
      <c r="H321" s="183" t="str">
        <f t="shared" si="33"/>
        <v>FF</v>
      </c>
      <c r="I321" s="112"/>
    </row>
    <row r="322" spans="1:9">
      <c r="A322" s="195">
        <f t="shared" si="32"/>
        <v>307</v>
      </c>
      <c r="B322" s="116" t="str">
        <f t="shared" si="34"/>
        <v>133</v>
      </c>
      <c r="C322" s="50"/>
      <c r="D322" s="111"/>
      <c r="E322" s="113"/>
      <c r="F322" s="114"/>
      <c r="G322" s="181"/>
      <c r="H322" s="183" t="str">
        <f t="shared" si="33"/>
        <v>FF</v>
      </c>
      <c r="I322" s="112"/>
    </row>
    <row r="323" spans="1:9">
      <c r="A323" s="195">
        <f t="shared" si="32"/>
        <v>308</v>
      </c>
      <c r="B323" s="116" t="str">
        <f t="shared" si="34"/>
        <v>134</v>
      </c>
      <c r="C323" s="50"/>
      <c r="D323" s="111"/>
      <c r="E323" s="113"/>
      <c r="F323" s="114"/>
      <c r="G323" s="181"/>
      <c r="H323" s="183" t="str">
        <f t="shared" si="33"/>
        <v>FF</v>
      </c>
      <c r="I323" s="112"/>
    </row>
    <row r="324" spans="1:9">
      <c r="A324" s="195">
        <f t="shared" si="32"/>
        <v>309</v>
      </c>
      <c r="B324" s="116" t="str">
        <f t="shared" si="34"/>
        <v>135</v>
      </c>
      <c r="C324" s="50"/>
      <c r="D324" s="111"/>
      <c r="E324" s="113"/>
      <c r="F324" s="114"/>
      <c r="G324" s="181"/>
      <c r="H324" s="183" t="str">
        <f t="shared" si="33"/>
        <v>FF</v>
      </c>
      <c r="I324" s="112"/>
    </row>
    <row r="325" spans="1:9">
      <c r="A325" s="195">
        <f t="shared" si="32"/>
        <v>310</v>
      </c>
      <c r="B325" s="116" t="str">
        <f t="shared" si="34"/>
        <v>136</v>
      </c>
      <c r="C325" s="50"/>
      <c r="D325" s="111"/>
      <c r="E325" s="113"/>
      <c r="F325" s="114"/>
      <c r="G325" s="181"/>
      <c r="H325" s="183" t="str">
        <f t="shared" si="33"/>
        <v>FF</v>
      </c>
      <c r="I325" s="112"/>
    </row>
    <row r="326" spans="1:9">
      <c r="A326" s="195">
        <f t="shared" si="32"/>
        <v>311</v>
      </c>
      <c r="B326" s="116" t="str">
        <f t="shared" si="34"/>
        <v>137</v>
      </c>
      <c r="C326" s="50"/>
      <c r="D326" s="111"/>
      <c r="E326" s="113"/>
      <c r="F326" s="114"/>
      <c r="G326" s="181"/>
      <c r="H326" s="183" t="str">
        <f t="shared" si="33"/>
        <v>FF</v>
      </c>
      <c r="I326" s="112"/>
    </row>
    <row r="327" spans="1:9">
      <c r="A327" s="195">
        <f t="shared" si="32"/>
        <v>312</v>
      </c>
      <c r="B327" s="116" t="str">
        <f t="shared" si="34"/>
        <v>138</v>
      </c>
      <c r="C327" s="50"/>
      <c r="D327" s="111"/>
      <c r="E327" s="113"/>
      <c r="F327" s="114"/>
      <c r="G327" s="181"/>
      <c r="H327" s="183" t="str">
        <f t="shared" si="33"/>
        <v>FF</v>
      </c>
      <c r="I327" s="112"/>
    </row>
    <row r="328" spans="1:9">
      <c r="A328" s="195">
        <f t="shared" si="32"/>
        <v>313</v>
      </c>
      <c r="B328" s="116" t="str">
        <f t="shared" si="34"/>
        <v>139</v>
      </c>
      <c r="C328" s="50"/>
      <c r="D328" s="111"/>
      <c r="E328" s="113"/>
      <c r="F328" s="114"/>
      <c r="G328" s="181"/>
      <c r="H328" s="183" t="str">
        <f t="shared" si="33"/>
        <v>FF</v>
      </c>
      <c r="I328" s="112"/>
    </row>
    <row r="329" spans="1:9">
      <c r="A329" s="195">
        <f t="shared" si="32"/>
        <v>314</v>
      </c>
      <c r="B329" s="116" t="str">
        <f t="shared" si="34"/>
        <v>13A</v>
      </c>
      <c r="C329" s="50"/>
      <c r="D329" s="111"/>
      <c r="E329" s="113"/>
      <c r="F329" s="114"/>
      <c r="G329" s="181"/>
      <c r="H329" s="183" t="str">
        <f t="shared" si="33"/>
        <v>FF</v>
      </c>
      <c r="I329" s="112"/>
    </row>
    <row r="330" spans="1:9">
      <c r="A330" s="195">
        <f t="shared" si="32"/>
        <v>315</v>
      </c>
      <c r="B330" s="116" t="str">
        <f t="shared" si="34"/>
        <v>13B</v>
      </c>
      <c r="C330" s="50"/>
      <c r="D330" s="111"/>
      <c r="E330" s="113"/>
      <c r="F330" s="114"/>
      <c r="G330" s="181"/>
      <c r="H330" s="183" t="str">
        <f t="shared" si="33"/>
        <v>FF</v>
      </c>
      <c r="I330" s="112"/>
    </row>
    <row r="331" spans="1:9">
      <c r="A331" s="195">
        <f t="shared" si="32"/>
        <v>316</v>
      </c>
      <c r="B331" s="116" t="str">
        <f t="shared" si="34"/>
        <v>13C</v>
      </c>
      <c r="C331" s="50"/>
      <c r="D331" s="111"/>
      <c r="E331" s="113"/>
      <c r="F331" s="114"/>
      <c r="G331" s="181"/>
      <c r="H331" s="183" t="str">
        <f t="shared" si="33"/>
        <v>FF</v>
      </c>
      <c r="I331" s="112"/>
    </row>
    <row r="332" spans="1:9">
      <c r="A332" s="195">
        <f t="shared" si="32"/>
        <v>317</v>
      </c>
      <c r="B332" s="116" t="str">
        <f t="shared" si="34"/>
        <v>13D</v>
      </c>
      <c r="C332" s="50"/>
      <c r="D332" s="111"/>
      <c r="E332" s="113"/>
      <c r="F332" s="114"/>
      <c r="G332" s="181"/>
      <c r="H332" s="183" t="str">
        <f t="shared" si="33"/>
        <v>FF</v>
      </c>
      <c r="I332" s="112"/>
    </row>
    <row r="333" spans="1:9">
      <c r="A333" s="195">
        <f t="shared" si="32"/>
        <v>318</v>
      </c>
      <c r="B333" s="116" t="str">
        <f t="shared" si="34"/>
        <v>13E</v>
      </c>
      <c r="C333" s="50"/>
      <c r="D333" s="111"/>
      <c r="E333" s="113"/>
      <c r="F333" s="114"/>
      <c r="G333" s="181"/>
      <c r="H333" s="183" t="str">
        <f t="shared" si="33"/>
        <v>FF</v>
      </c>
      <c r="I333" s="112"/>
    </row>
    <row r="334" spans="1:9">
      <c r="A334" s="195">
        <f t="shared" si="32"/>
        <v>319</v>
      </c>
      <c r="B334" s="116" t="str">
        <f t="shared" si="34"/>
        <v>13F</v>
      </c>
      <c r="C334" s="50"/>
      <c r="D334" s="111"/>
      <c r="E334" s="113"/>
      <c r="F334" s="114"/>
      <c r="G334" s="181"/>
      <c r="H334" s="183" t="str">
        <f t="shared" si="33"/>
        <v>FF</v>
      </c>
      <c r="I334" s="112"/>
    </row>
    <row r="335" spans="1:9">
      <c r="A335" s="195">
        <f t="shared" si="32"/>
        <v>320</v>
      </c>
      <c r="B335" s="116" t="str">
        <f t="shared" si="34"/>
        <v>140</v>
      </c>
      <c r="C335" s="50"/>
      <c r="D335" s="111"/>
      <c r="E335" s="113"/>
      <c r="F335" s="114"/>
      <c r="G335" s="181"/>
      <c r="H335" s="183" t="str">
        <f t="shared" si="33"/>
        <v>FF</v>
      </c>
      <c r="I335" s="112"/>
    </row>
    <row r="336" spans="1:9">
      <c r="A336" s="195">
        <f t="shared" si="32"/>
        <v>321</v>
      </c>
      <c r="B336" s="116" t="str">
        <f t="shared" si="34"/>
        <v>141</v>
      </c>
      <c r="C336" s="50"/>
      <c r="D336" s="111"/>
      <c r="E336" s="113"/>
      <c r="F336" s="114"/>
      <c r="G336" s="181"/>
      <c r="H336" s="183" t="str">
        <f t="shared" si="33"/>
        <v>FF</v>
      </c>
      <c r="I336" s="112"/>
    </row>
    <row r="337" spans="1:9">
      <c r="A337" s="195">
        <f t="shared" si="32"/>
        <v>322</v>
      </c>
      <c r="B337" s="116" t="str">
        <f t="shared" si="34"/>
        <v>142</v>
      </c>
      <c r="C337" s="50"/>
      <c r="D337" s="111"/>
      <c r="E337" s="113"/>
      <c r="F337" s="114"/>
      <c r="G337" s="181"/>
      <c r="H337" s="183" t="str">
        <f t="shared" si="33"/>
        <v>FF</v>
      </c>
      <c r="I337" s="112"/>
    </row>
    <row r="338" spans="1:9">
      <c r="A338" s="195">
        <f t="shared" si="32"/>
        <v>323</v>
      </c>
      <c r="B338" s="116" t="str">
        <f t="shared" si="34"/>
        <v>143</v>
      </c>
      <c r="C338" s="50"/>
      <c r="D338" s="111"/>
      <c r="E338" s="113"/>
      <c r="F338" s="114"/>
      <c r="G338" s="181"/>
      <c r="H338" s="183" t="str">
        <f t="shared" si="33"/>
        <v>FF</v>
      </c>
      <c r="I338" s="112"/>
    </row>
    <row r="339" spans="1:9">
      <c r="A339" s="195">
        <f t="shared" si="32"/>
        <v>324</v>
      </c>
      <c r="B339" s="116" t="str">
        <f t="shared" si="34"/>
        <v>144</v>
      </c>
      <c r="C339" s="50"/>
      <c r="D339" s="111"/>
      <c r="E339" s="113"/>
      <c r="F339" s="114"/>
      <c r="G339" s="181"/>
      <c r="H339" s="183" t="str">
        <f t="shared" si="33"/>
        <v>FF</v>
      </c>
      <c r="I339" s="112"/>
    </row>
    <row r="340" spans="1:9">
      <c r="A340" s="195">
        <f t="shared" si="32"/>
        <v>325</v>
      </c>
      <c r="B340" s="116" t="str">
        <f t="shared" si="34"/>
        <v>145</v>
      </c>
      <c r="C340" s="50"/>
      <c r="D340" s="111"/>
      <c r="E340" s="113"/>
      <c r="F340" s="114"/>
      <c r="G340" s="181"/>
      <c r="H340" s="183" t="str">
        <f t="shared" si="33"/>
        <v>FF</v>
      </c>
      <c r="I340" s="112"/>
    </row>
    <row r="341" spans="1:9">
      <c r="A341" s="195">
        <f t="shared" si="32"/>
        <v>326</v>
      </c>
      <c r="B341" s="116" t="str">
        <f t="shared" si="34"/>
        <v>146</v>
      </c>
      <c r="C341" s="50"/>
      <c r="D341" s="111"/>
      <c r="E341" s="113"/>
      <c r="F341" s="114"/>
      <c r="G341" s="181"/>
      <c r="H341" s="183" t="str">
        <f t="shared" si="33"/>
        <v>FF</v>
      </c>
      <c r="I341" s="112"/>
    </row>
    <row r="342" spans="1:9">
      <c r="A342" s="195">
        <f t="shared" si="32"/>
        <v>327</v>
      </c>
      <c r="B342" s="116" t="str">
        <f t="shared" si="34"/>
        <v>147</v>
      </c>
      <c r="C342" s="50"/>
      <c r="D342" s="111"/>
      <c r="E342" s="113"/>
      <c r="F342" s="114"/>
      <c r="G342" s="181"/>
      <c r="H342" s="183" t="str">
        <f t="shared" si="33"/>
        <v>FF</v>
      </c>
      <c r="I342" s="112"/>
    </row>
    <row r="343" spans="1:9">
      <c r="A343" s="195">
        <f t="shared" si="32"/>
        <v>328</v>
      </c>
      <c r="B343" s="116" t="str">
        <f t="shared" si="34"/>
        <v>148</v>
      </c>
      <c r="C343" s="50"/>
      <c r="D343" s="111"/>
      <c r="E343" s="113"/>
      <c r="F343" s="114"/>
      <c r="G343" s="181"/>
      <c r="H343" s="183" t="str">
        <f t="shared" si="33"/>
        <v>FF</v>
      </c>
      <c r="I343" s="112"/>
    </row>
    <row r="344" spans="1:9">
      <c r="A344" s="195">
        <f t="shared" si="32"/>
        <v>329</v>
      </c>
      <c r="B344" s="116" t="str">
        <f t="shared" si="34"/>
        <v>149</v>
      </c>
      <c r="C344" s="50"/>
      <c r="D344" s="111"/>
      <c r="E344" s="113"/>
      <c r="F344" s="114"/>
      <c r="G344" s="181"/>
      <c r="H344" s="183" t="str">
        <f t="shared" si="33"/>
        <v>FF</v>
      </c>
      <c r="I344" s="112"/>
    </row>
    <row r="345" spans="1:9">
      <c r="A345" s="195">
        <f t="shared" si="32"/>
        <v>330</v>
      </c>
      <c r="B345" s="116" t="str">
        <f t="shared" si="34"/>
        <v>14A</v>
      </c>
      <c r="C345" s="50"/>
      <c r="D345" s="111"/>
      <c r="E345" s="113"/>
      <c r="F345" s="114"/>
      <c r="G345" s="181"/>
      <c r="H345" s="183" t="str">
        <f t="shared" si="33"/>
        <v>FF</v>
      </c>
      <c r="I345" s="112"/>
    </row>
    <row r="346" spans="1:9">
      <c r="A346" s="195">
        <f t="shared" si="32"/>
        <v>331</v>
      </c>
      <c r="B346" s="116" t="str">
        <f t="shared" si="34"/>
        <v>14B</v>
      </c>
      <c r="C346" s="50"/>
      <c r="D346" s="111"/>
      <c r="E346" s="113"/>
      <c r="F346" s="114"/>
      <c r="G346" s="181"/>
      <c r="H346" s="183" t="str">
        <f t="shared" si="33"/>
        <v>FF</v>
      </c>
      <c r="I346" s="112"/>
    </row>
    <row r="347" spans="1:9">
      <c r="A347" s="195">
        <f t="shared" ref="A347:A410" si="35">A346+(ROW()-ROW(A346))</f>
        <v>332</v>
      </c>
      <c r="B347" s="116" t="str">
        <f t="shared" si="34"/>
        <v>14C</v>
      </c>
      <c r="C347" s="50"/>
      <c r="D347" s="111"/>
      <c r="E347" s="113"/>
      <c r="F347" s="114"/>
      <c r="G347" s="181"/>
      <c r="H347" s="183" t="str">
        <f t="shared" si="33"/>
        <v>FF</v>
      </c>
      <c r="I347" s="112"/>
    </row>
    <row r="348" spans="1:9">
      <c r="A348" s="195">
        <f t="shared" si="35"/>
        <v>333</v>
      </c>
      <c r="B348" s="116" t="str">
        <f t="shared" si="34"/>
        <v>14D</v>
      </c>
      <c r="C348" s="50"/>
      <c r="D348" s="111"/>
      <c r="E348" s="113"/>
      <c r="F348" s="114"/>
      <c r="G348" s="181"/>
      <c r="H348" s="183" t="str">
        <f t="shared" si="33"/>
        <v>FF</v>
      </c>
      <c r="I348" s="112"/>
    </row>
    <row r="349" spans="1:9">
      <c r="A349" s="195">
        <f t="shared" si="35"/>
        <v>334</v>
      </c>
      <c r="B349" s="116" t="str">
        <f t="shared" si="34"/>
        <v>14E</v>
      </c>
      <c r="C349" s="50"/>
      <c r="D349" s="111"/>
      <c r="E349" s="113"/>
      <c r="F349" s="114"/>
      <c r="G349" s="181"/>
      <c r="H349" s="183" t="str">
        <f t="shared" si="33"/>
        <v>FF</v>
      </c>
      <c r="I349" s="112"/>
    </row>
    <row r="350" spans="1:9">
      <c r="A350" s="195">
        <f t="shared" si="35"/>
        <v>335</v>
      </c>
      <c r="B350" s="116" t="str">
        <f t="shared" si="34"/>
        <v>14F</v>
      </c>
      <c r="C350" s="50"/>
      <c r="D350" s="111"/>
      <c r="E350" s="113"/>
      <c r="F350" s="114"/>
      <c r="G350" s="181"/>
      <c r="H350" s="183" t="str">
        <f t="shared" si="33"/>
        <v>FF</v>
      </c>
      <c r="I350" s="112"/>
    </row>
    <row r="351" spans="1:9">
      <c r="A351" s="195">
        <f t="shared" si="35"/>
        <v>336</v>
      </c>
      <c r="B351" s="116" t="str">
        <f t="shared" si="34"/>
        <v>150</v>
      </c>
      <c r="C351" s="50"/>
      <c r="D351" s="111"/>
      <c r="E351" s="113"/>
      <c r="F351" s="114"/>
      <c r="G351" s="181"/>
      <c r="H351" s="183" t="str">
        <f t="shared" si="33"/>
        <v>FF</v>
      </c>
      <c r="I351" s="112"/>
    </row>
    <row r="352" spans="1:9">
      <c r="A352" s="195">
        <f t="shared" si="35"/>
        <v>337</v>
      </c>
      <c r="B352" s="116" t="str">
        <f t="shared" si="34"/>
        <v>151</v>
      </c>
      <c r="C352" s="50"/>
      <c r="D352" s="111"/>
      <c r="E352" s="113"/>
      <c r="F352" s="114"/>
      <c r="G352" s="181"/>
      <c r="H352" s="183" t="str">
        <f t="shared" si="33"/>
        <v>FF</v>
      </c>
      <c r="I352" s="112"/>
    </row>
    <row r="353" spans="1:9">
      <c r="A353" s="195">
        <f t="shared" si="35"/>
        <v>338</v>
      </c>
      <c r="B353" s="116" t="str">
        <f t="shared" si="34"/>
        <v>152</v>
      </c>
      <c r="C353" s="50"/>
      <c r="D353" s="111"/>
      <c r="E353" s="113"/>
      <c r="F353" s="114"/>
      <c r="G353" s="181"/>
      <c r="H353" s="183" t="str">
        <f t="shared" si="33"/>
        <v>FF</v>
      </c>
      <c r="I353" s="112"/>
    </row>
    <row r="354" spans="1:9">
      <c r="A354" s="195">
        <f t="shared" si="35"/>
        <v>339</v>
      </c>
      <c r="B354" s="116" t="str">
        <f t="shared" si="34"/>
        <v>153</v>
      </c>
      <c r="C354" s="50"/>
      <c r="D354" s="111"/>
      <c r="E354" s="113"/>
      <c r="F354" s="114"/>
      <c r="G354" s="181"/>
      <c r="H354" s="183" t="str">
        <f t="shared" si="33"/>
        <v>FF</v>
      </c>
      <c r="I354" s="112"/>
    </row>
    <row r="355" spans="1:9">
      <c r="A355" s="195">
        <f t="shared" si="35"/>
        <v>340</v>
      </c>
      <c r="B355" s="116" t="str">
        <f t="shared" si="34"/>
        <v>154</v>
      </c>
      <c r="C355" s="50"/>
      <c r="D355" s="111"/>
      <c r="E355" s="113"/>
      <c r="F355" s="114"/>
      <c r="G355" s="181"/>
      <c r="H355" s="183" t="str">
        <f t="shared" si="33"/>
        <v>FF</v>
      </c>
      <c r="I355" s="112"/>
    </row>
    <row r="356" spans="1:9">
      <c r="A356" s="195">
        <f t="shared" si="35"/>
        <v>341</v>
      </c>
      <c r="B356" s="116" t="str">
        <f t="shared" si="34"/>
        <v>155</v>
      </c>
      <c r="C356" s="50"/>
      <c r="D356" s="111"/>
      <c r="E356" s="113"/>
      <c r="F356" s="114"/>
      <c r="G356" s="181"/>
      <c r="H356" s="183" t="str">
        <f t="shared" si="33"/>
        <v>FF</v>
      </c>
      <c r="I356" s="112"/>
    </row>
    <row r="357" spans="1:9">
      <c r="A357" s="195">
        <f t="shared" si="35"/>
        <v>342</v>
      </c>
      <c r="B357" s="116" t="str">
        <f t="shared" si="34"/>
        <v>156</v>
      </c>
      <c r="C357" s="50"/>
      <c r="D357" s="111"/>
      <c r="E357" s="113"/>
      <c r="F357" s="114"/>
      <c r="G357" s="181"/>
      <c r="H357" s="183" t="str">
        <f t="shared" si="33"/>
        <v>FF</v>
      </c>
      <c r="I357" s="112"/>
    </row>
    <row r="358" spans="1:9">
      <c r="A358" s="195">
        <f t="shared" si="35"/>
        <v>343</v>
      </c>
      <c r="B358" s="116" t="str">
        <f t="shared" si="34"/>
        <v>157</v>
      </c>
      <c r="C358" s="50"/>
      <c r="D358" s="111"/>
      <c r="E358" s="113"/>
      <c r="F358" s="114"/>
      <c r="G358" s="181"/>
      <c r="H358" s="183" t="str">
        <f t="shared" si="33"/>
        <v>FF</v>
      </c>
      <c r="I358" s="112"/>
    </row>
    <row r="359" spans="1:9">
      <c r="A359" s="195">
        <f t="shared" si="35"/>
        <v>344</v>
      </c>
      <c r="B359" s="116" t="str">
        <f t="shared" si="34"/>
        <v>158</v>
      </c>
      <c r="C359" s="50"/>
      <c r="D359" s="111"/>
      <c r="E359" s="113"/>
      <c r="F359" s="114"/>
      <c r="G359" s="181"/>
      <c r="H359" s="183" t="str">
        <f t="shared" si="33"/>
        <v>FF</v>
      </c>
      <c r="I359" s="112"/>
    </row>
    <row r="360" spans="1:9">
      <c r="A360" s="195">
        <f t="shared" si="35"/>
        <v>345</v>
      </c>
      <c r="B360" s="116" t="str">
        <f t="shared" si="34"/>
        <v>159</v>
      </c>
      <c r="C360" s="50"/>
      <c r="D360" s="111"/>
      <c r="E360" s="113"/>
      <c r="F360" s="114"/>
      <c r="G360" s="181"/>
      <c r="H360" s="183" t="str">
        <f t="shared" si="33"/>
        <v>FF</v>
      </c>
      <c r="I360" s="112"/>
    </row>
    <row r="361" spans="1:9">
      <c r="A361" s="195">
        <f t="shared" si="35"/>
        <v>346</v>
      </c>
      <c r="B361" s="116" t="str">
        <f t="shared" si="34"/>
        <v>15A</v>
      </c>
      <c r="C361" s="50"/>
      <c r="D361" s="111"/>
      <c r="E361" s="113"/>
      <c r="F361" s="114"/>
      <c r="G361" s="181"/>
      <c r="H361" s="183" t="str">
        <f t="shared" si="33"/>
        <v>FF</v>
      </c>
      <c r="I361" s="112"/>
    </row>
    <row r="362" spans="1:9">
      <c r="A362" s="195">
        <f t="shared" si="35"/>
        <v>347</v>
      </c>
      <c r="B362" s="116" t="str">
        <f t="shared" si="34"/>
        <v>15B</v>
      </c>
      <c r="C362" s="50"/>
      <c r="D362" s="111"/>
      <c r="E362" s="113"/>
      <c r="F362" s="114"/>
      <c r="G362" s="181"/>
      <c r="H362" s="183" t="str">
        <f t="shared" si="33"/>
        <v>FF</v>
      </c>
      <c r="I362" s="112"/>
    </row>
    <row r="363" spans="1:9">
      <c r="A363" s="195">
        <f t="shared" si="35"/>
        <v>348</v>
      </c>
      <c r="B363" s="116" t="str">
        <f t="shared" si="34"/>
        <v>15C</v>
      </c>
      <c r="C363" s="50"/>
      <c r="D363" s="111"/>
      <c r="E363" s="113"/>
      <c r="F363" s="114"/>
      <c r="G363" s="181"/>
      <c r="H363" s="183" t="str">
        <f t="shared" si="33"/>
        <v>FF</v>
      </c>
      <c r="I363" s="112"/>
    </row>
    <row r="364" spans="1:9">
      <c r="A364" s="195">
        <f t="shared" si="35"/>
        <v>349</v>
      </c>
      <c r="B364" s="116" t="str">
        <f t="shared" si="34"/>
        <v>15D</v>
      </c>
      <c r="C364" s="50"/>
      <c r="D364" s="111"/>
      <c r="E364" s="113"/>
      <c r="F364" s="114"/>
      <c r="G364" s="181"/>
      <c r="H364" s="183" t="str">
        <f t="shared" si="33"/>
        <v>FF</v>
      </c>
      <c r="I364" s="112"/>
    </row>
    <row r="365" spans="1:9">
      <c r="A365" s="195">
        <f t="shared" si="35"/>
        <v>350</v>
      </c>
      <c r="B365" s="116" t="str">
        <f t="shared" si="34"/>
        <v>15E</v>
      </c>
      <c r="C365" s="50"/>
      <c r="D365" s="111"/>
      <c r="E365" s="113"/>
      <c r="F365" s="114"/>
      <c r="G365" s="181"/>
      <c r="H365" s="183" t="str">
        <f t="shared" si="33"/>
        <v>FF</v>
      </c>
      <c r="I365" s="112"/>
    </row>
    <row r="366" spans="1:9">
      <c r="A366" s="195">
        <f t="shared" si="35"/>
        <v>351</v>
      </c>
      <c r="B366" s="116" t="str">
        <f t="shared" si="34"/>
        <v>15F</v>
      </c>
      <c r="C366" s="50"/>
      <c r="D366" s="111"/>
      <c r="E366" s="113"/>
      <c r="F366" s="114"/>
      <c r="G366" s="181"/>
      <c r="H366" s="183" t="str">
        <f t="shared" si="33"/>
        <v>FF</v>
      </c>
      <c r="I366" s="112"/>
    </row>
    <row r="367" spans="1:9">
      <c r="A367" s="195">
        <f t="shared" si="35"/>
        <v>352</v>
      </c>
      <c r="B367" s="116" t="str">
        <f t="shared" si="34"/>
        <v>160</v>
      </c>
      <c r="C367" s="50"/>
      <c r="D367" s="111"/>
      <c r="E367" s="113"/>
      <c r="F367" s="114"/>
      <c r="G367" s="181"/>
      <c r="H367" s="183" t="str">
        <f t="shared" si="33"/>
        <v>FF</v>
      </c>
      <c r="I367" s="112"/>
    </row>
    <row r="368" spans="1:9">
      <c r="A368" s="195">
        <f t="shared" si="35"/>
        <v>353</v>
      </c>
      <c r="B368" s="116" t="str">
        <f t="shared" si="34"/>
        <v>161</v>
      </c>
      <c r="C368" s="50"/>
      <c r="D368" s="111"/>
      <c r="E368" s="113"/>
      <c r="F368" s="114"/>
      <c r="G368" s="181"/>
      <c r="H368" s="183" t="str">
        <f t="shared" si="33"/>
        <v>FF</v>
      </c>
      <c r="I368" s="112"/>
    </row>
    <row r="369" spans="1:9">
      <c r="A369" s="195">
        <f t="shared" si="35"/>
        <v>354</v>
      </c>
      <c r="B369" s="116" t="str">
        <f t="shared" si="34"/>
        <v>162</v>
      </c>
      <c r="C369" s="50"/>
      <c r="D369" s="111"/>
      <c r="E369" s="113"/>
      <c r="F369" s="114"/>
      <c r="G369" s="181"/>
      <c r="H369" s="183" t="str">
        <f t="shared" si="33"/>
        <v>FF</v>
      </c>
      <c r="I369" s="112"/>
    </row>
    <row r="370" spans="1:9">
      <c r="A370" s="195">
        <f t="shared" si="35"/>
        <v>355</v>
      </c>
      <c r="B370" s="116" t="str">
        <f t="shared" si="34"/>
        <v>163</v>
      </c>
      <c r="C370" s="50"/>
      <c r="D370" s="111"/>
      <c r="E370" s="113"/>
      <c r="F370" s="114"/>
      <c r="G370" s="181"/>
      <c r="H370" s="183" t="str">
        <f t="shared" si="33"/>
        <v>FF</v>
      </c>
      <c r="I370" s="112"/>
    </row>
    <row r="371" spans="1:9">
      <c r="A371" s="195">
        <f t="shared" si="35"/>
        <v>356</v>
      </c>
      <c r="B371" s="116" t="str">
        <f t="shared" si="34"/>
        <v>164</v>
      </c>
      <c r="C371" s="50"/>
      <c r="D371" s="111"/>
      <c r="E371" s="113"/>
      <c r="F371" s="114"/>
      <c r="G371" s="181"/>
      <c r="H371" s="183" t="str">
        <f t="shared" si="33"/>
        <v>FF</v>
      </c>
      <c r="I371" s="112"/>
    </row>
    <row r="372" spans="1:9">
      <c r="A372" s="195">
        <f t="shared" si="35"/>
        <v>357</v>
      </c>
      <c r="B372" s="116" t="str">
        <f t="shared" si="34"/>
        <v>165</v>
      </c>
      <c r="C372" s="50"/>
      <c r="D372" s="111"/>
      <c r="E372" s="113"/>
      <c r="F372" s="114"/>
      <c r="G372" s="181"/>
      <c r="H372" s="183" t="str">
        <f t="shared" si="33"/>
        <v>FF</v>
      </c>
      <c r="I372" s="112"/>
    </row>
    <row r="373" spans="1:9">
      <c r="A373" s="195">
        <f t="shared" si="35"/>
        <v>358</v>
      </c>
      <c r="B373" s="116" t="str">
        <f t="shared" si="34"/>
        <v>166</v>
      </c>
      <c r="C373" s="50"/>
      <c r="D373" s="111"/>
      <c r="E373" s="113"/>
      <c r="F373" s="114"/>
      <c r="G373" s="181"/>
      <c r="H373" s="183" t="str">
        <f t="shared" si="33"/>
        <v>FF</v>
      </c>
      <c r="I373" s="112"/>
    </row>
    <row r="374" spans="1:9">
      <c r="A374" s="195">
        <f t="shared" si="35"/>
        <v>359</v>
      </c>
      <c r="B374" s="116" t="str">
        <f t="shared" ref="B374:B437" si="36">DEC2HEX(A374,3)</f>
        <v>167</v>
      </c>
      <c r="C374" s="50"/>
      <c r="D374" s="111"/>
      <c r="E374" s="113"/>
      <c r="F374" s="114"/>
      <c r="G374" s="181"/>
      <c r="H374" s="183" t="str">
        <f t="shared" si="33"/>
        <v>FF</v>
      </c>
      <c r="I374" s="112"/>
    </row>
    <row r="375" spans="1:9">
      <c r="A375" s="195">
        <f t="shared" si="35"/>
        <v>360</v>
      </c>
      <c r="B375" s="116" t="str">
        <f t="shared" si="36"/>
        <v>168</v>
      </c>
      <c r="C375" s="50"/>
      <c r="D375" s="111"/>
      <c r="E375" s="113"/>
      <c r="F375" s="114"/>
      <c r="G375" s="181"/>
      <c r="H375" s="183" t="str">
        <f t="shared" si="33"/>
        <v>FF</v>
      </c>
      <c r="I375" s="112"/>
    </row>
    <row r="376" spans="1:9">
      <c r="A376" s="195">
        <f t="shared" si="35"/>
        <v>361</v>
      </c>
      <c r="B376" s="116" t="str">
        <f t="shared" si="36"/>
        <v>169</v>
      </c>
      <c r="C376" s="50"/>
      <c r="D376" s="111"/>
      <c r="E376" s="113"/>
      <c r="F376" s="114"/>
      <c r="G376" s="181"/>
      <c r="H376" s="183" t="str">
        <f t="shared" si="33"/>
        <v>FF</v>
      </c>
      <c r="I376" s="112"/>
    </row>
    <row r="377" spans="1:9">
      <c r="A377" s="195">
        <f t="shared" si="35"/>
        <v>362</v>
      </c>
      <c r="B377" s="116" t="str">
        <f t="shared" si="36"/>
        <v>16A</v>
      </c>
      <c r="C377" s="50"/>
      <c r="D377" s="111"/>
      <c r="E377" s="113"/>
      <c r="F377" s="114"/>
      <c r="G377" s="181"/>
      <c r="H377" s="183" t="str">
        <f t="shared" si="33"/>
        <v>FF</v>
      </c>
      <c r="I377" s="112"/>
    </row>
    <row r="378" spans="1:9">
      <c r="A378" s="195">
        <f t="shared" si="35"/>
        <v>363</v>
      </c>
      <c r="B378" s="116" t="str">
        <f t="shared" si="36"/>
        <v>16B</v>
      </c>
      <c r="C378" s="50"/>
      <c r="D378" s="111"/>
      <c r="E378" s="113"/>
      <c r="F378" s="114"/>
      <c r="G378" s="181"/>
      <c r="H378" s="183" t="str">
        <f t="shared" si="33"/>
        <v>FF</v>
      </c>
      <c r="I378" s="112"/>
    </row>
    <row r="379" spans="1:9">
      <c r="A379" s="195">
        <f t="shared" si="35"/>
        <v>364</v>
      </c>
      <c r="B379" s="116" t="str">
        <f t="shared" si="36"/>
        <v>16C</v>
      </c>
      <c r="C379" s="50"/>
      <c r="D379" s="111"/>
      <c r="E379" s="113"/>
      <c r="F379" s="114"/>
      <c r="G379" s="181"/>
      <c r="H379" s="183" t="str">
        <f t="shared" si="33"/>
        <v>FF</v>
      </c>
      <c r="I379" s="112"/>
    </row>
    <row r="380" spans="1:9">
      <c r="A380" s="195">
        <f t="shared" si="35"/>
        <v>365</v>
      </c>
      <c r="B380" s="116" t="str">
        <f t="shared" si="36"/>
        <v>16D</v>
      </c>
      <c r="C380" s="50"/>
      <c r="D380" s="111"/>
      <c r="E380" s="113"/>
      <c r="F380" s="114"/>
      <c r="G380" s="181"/>
      <c r="H380" s="183" t="str">
        <f t="shared" si="33"/>
        <v>FF</v>
      </c>
      <c r="I380" s="112"/>
    </row>
    <row r="381" spans="1:9">
      <c r="A381" s="195">
        <f t="shared" si="35"/>
        <v>366</v>
      </c>
      <c r="B381" s="116" t="str">
        <f t="shared" si="36"/>
        <v>16E</v>
      </c>
      <c r="C381" s="50"/>
      <c r="D381" s="111"/>
      <c r="E381" s="113"/>
      <c r="F381" s="114"/>
      <c r="G381" s="181"/>
      <c r="H381" s="183" t="str">
        <f t="shared" si="33"/>
        <v>FF</v>
      </c>
      <c r="I381" s="112"/>
    </row>
    <row r="382" spans="1:9">
      <c r="A382" s="195">
        <f t="shared" si="35"/>
        <v>367</v>
      </c>
      <c r="B382" s="116" t="str">
        <f t="shared" si="36"/>
        <v>16F</v>
      </c>
      <c r="C382" s="50"/>
      <c r="D382" s="111"/>
      <c r="E382" s="113"/>
      <c r="F382" s="114"/>
      <c r="G382" s="181"/>
      <c r="H382" s="183" t="str">
        <f t="shared" si="33"/>
        <v>FF</v>
      </c>
      <c r="I382" s="112"/>
    </row>
    <row r="383" spans="1:9">
      <c r="A383" s="195">
        <f t="shared" si="35"/>
        <v>368</v>
      </c>
      <c r="B383" s="116" t="str">
        <f t="shared" si="36"/>
        <v>170</v>
      </c>
      <c r="C383" s="50"/>
      <c r="D383" s="111"/>
      <c r="E383" s="113"/>
      <c r="F383" s="114"/>
      <c r="G383" s="181"/>
      <c r="H383" s="183" t="str">
        <f t="shared" si="33"/>
        <v>FF</v>
      </c>
      <c r="I383" s="112"/>
    </row>
    <row r="384" spans="1:9">
      <c r="A384" s="195">
        <f t="shared" si="35"/>
        <v>369</v>
      </c>
      <c r="B384" s="116" t="str">
        <f t="shared" si="36"/>
        <v>171</v>
      </c>
      <c r="C384" s="50"/>
      <c r="D384" s="111"/>
      <c r="E384" s="113"/>
      <c r="F384" s="114"/>
      <c r="G384" s="181"/>
      <c r="H384" s="183" t="str">
        <f t="shared" si="33"/>
        <v>FF</v>
      </c>
      <c r="I384" s="112"/>
    </row>
    <row r="385" spans="1:9">
      <c r="A385" s="195">
        <f t="shared" si="35"/>
        <v>370</v>
      </c>
      <c r="B385" s="116" t="str">
        <f t="shared" si="36"/>
        <v>172</v>
      </c>
      <c r="C385" s="50"/>
      <c r="D385" s="111"/>
      <c r="E385" s="113"/>
      <c r="F385" s="114"/>
      <c r="G385" s="181"/>
      <c r="H385" s="183" t="str">
        <f t="shared" si="33"/>
        <v>FF</v>
      </c>
      <c r="I385" s="112"/>
    </row>
    <row r="386" spans="1:9">
      <c r="A386" s="195">
        <f t="shared" si="35"/>
        <v>371</v>
      </c>
      <c r="B386" s="116" t="str">
        <f t="shared" si="36"/>
        <v>173</v>
      </c>
      <c r="C386" s="50"/>
      <c r="D386" s="111"/>
      <c r="E386" s="113"/>
      <c r="F386" s="114"/>
      <c r="G386" s="181"/>
      <c r="H386" s="183" t="str">
        <f t="shared" si="33"/>
        <v>FF</v>
      </c>
      <c r="I386" s="112"/>
    </row>
    <row r="387" spans="1:9">
      <c r="A387" s="195">
        <f t="shared" si="35"/>
        <v>372</v>
      </c>
      <c r="B387" s="116" t="str">
        <f t="shared" si="36"/>
        <v>174</v>
      </c>
      <c r="C387" s="50"/>
      <c r="D387" s="111"/>
      <c r="E387" s="113"/>
      <c r="F387" s="114"/>
      <c r="G387" s="181"/>
      <c r="H387" s="183" t="str">
        <f t="shared" si="33"/>
        <v>FF</v>
      </c>
      <c r="I387" s="112"/>
    </row>
    <row r="388" spans="1:9">
      <c r="A388" s="195">
        <f t="shared" si="35"/>
        <v>373</v>
      </c>
      <c r="B388" s="116" t="str">
        <f t="shared" si="36"/>
        <v>175</v>
      </c>
      <c r="C388" s="50"/>
      <c r="D388" s="111"/>
      <c r="E388" s="113"/>
      <c r="F388" s="114"/>
      <c r="G388" s="181"/>
      <c r="H388" s="183" t="str">
        <f t="shared" si="33"/>
        <v>FF</v>
      </c>
      <c r="I388" s="112"/>
    </row>
    <row r="389" spans="1:9">
      <c r="A389" s="195">
        <f t="shared" si="35"/>
        <v>374</v>
      </c>
      <c r="B389" s="116" t="str">
        <f t="shared" si="36"/>
        <v>176</v>
      </c>
      <c r="C389" s="50"/>
      <c r="D389" s="111"/>
      <c r="E389" s="113"/>
      <c r="F389" s="114"/>
      <c r="G389" s="181"/>
      <c r="H389" s="183" t="str">
        <f t="shared" si="33"/>
        <v>FF</v>
      </c>
      <c r="I389" s="112"/>
    </row>
    <row r="390" spans="1:9">
      <c r="A390" s="195">
        <f t="shared" si="35"/>
        <v>375</v>
      </c>
      <c r="B390" s="116" t="str">
        <f t="shared" si="36"/>
        <v>177</v>
      </c>
      <c r="C390" s="50"/>
      <c r="D390" s="111"/>
      <c r="E390" s="113"/>
      <c r="F390" s="114"/>
      <c r="G390" s="181"/>
      <c r="H390" s="183" t="str">
        <f t="shared" si="33"/>
        <v>FF</v>
      </c>
      <c r="I390" s="112"/>
    </row>
    <row r="391" spans="1:9">
      <c r="A391" s="195">
        <f t="shared" si="35"/>
        <v>376</v>
      </c>
      <c r="B391" s="116" t="str">
        <f t="shared" si="36"/>
        <v>178</v>
      </c>
      <c r="C391" s="50"/>
      <c r="D391" s="111"/>
      <c r="E391" s="113"/>
      <c r="F391" s="114"/>
      <c r="G391" s="181"/>
      <c r="H391" s="183" t="str">
        <f t="shared" si="33"/>
        <v>FF</v>
      </c>
      <c r="I391" s="112"/>
    </row>
    <row r="392" spans="1:9">
      <c r="A392" s="195">
        <f t="shared" si="35"/>
        <v>377</v>
      </c>
      <c r="B392" s="116" t="str">
        <f t="shared" si="36"/>
        <v>179</v>
      </c>
      <c r="C392" s="50"/>
      <c r="D392" s="111"/>
      <c r="E392" s="113"/>
      <c r="F392" s="114"/>
      <c r="G392" s="181"/>
      <c r="H392" s="183" t="str">
        <f t="shared" si="33"/>
        <v>FF</v>
      </c>
      <c r="I392" s="112"/>
    </row>
    <row r="393" spans="1:9">
      <c r="A393" s="195">
        <f t="shared" si="35"/>
        <v>378</v>
      </c>
      <c r="B393" s="116" t="str">
        <f t="shared" si="36"/>
        <v>17A</v>
      </c>
      <c r="C393" s="50"/>
      <c r="D393" s="111"/>
      <c r="E393" s="113"/>
      <c r="F393" s="114"/>
      <c r="G393" s="181"/>
      <c r="H393" s="183" t="str">
        <f t="shared" ref="H393:H583" si="37">Fill</f>
        <v>FF</v>
      </c>
      <c r="I393" s="112"/>
    </row>
    <row r="394" spans="1:9">
      <c r="A394" s="195">
        <f t="shared" si="35"/>
        <v>379</v>
      </c>
      <c r="B394" s="116" t="str">
        <f t="shared" si="36"/>
        <v>17B</v>
      </c>
      <c r="C394" s="50"/>
      <c r="D394" s="111"/>
      <c r="E394" s="113"/>
      <c r="F394" s="114"/>
      <c r="G394" s="181"/>
      <c r="H394" s="183" t="str">
        <f t="shared" si="37"/>
        <v>FF</v>
      </c>
      <c r="I394" s="112"/>
    </row>
    <row r="395" spans="1:9">
      <c r="A395" s="195">
        <f t="shared" si="35"/>
        <v>380</v>
      </c>
      <c r="B395" s="116" t="str">
        <f t="shared" si="36"/>
        <v>17C</v>
      </c>
      <c r="C395" s="50"/>
      <c r="D395" s="111"/>
      <c r="E395" s="113"/>
      <c r="F395" s="114"/>
      <c r="G395" s="181"/>
      <c r="H395" s="183" t="str">
        <f t="shared" si="37"/>
        <v>FF</v>
      </c>
      <c r="I395" s="112"/>
    </row>
    <row r="396" spans="1:9">
      <c r="A396" s="195">
        <f t="shared" si="35"/>
        <v>381</v>
      </c>
      <c r="B396" s="116" t="str">
        <f t="shared" si="36"/>
        <v>17D</v>
      </c>
      <c r="C396" s="50"/>
      <c r="D396" s="111"/>
      <c r="E396" s="113"/>
      <c r="F396" s="114"/>
      <c r="G396" s="181"/>
      <c r="H396" s="183" t="str">
        <f t="shared" si="37"/>
        <v>FF</v>
      </c>
      <c r="I396" s="112"/>
    </row>
    <row r="397" spans="1:9">
      <c r="A397" s="195">
        <f t="shared" si="35"/>
        <v>382</v>
      </c>
      <c r="B397" s="116" t="str">
        <f t="shared" si="36"/>
        <v>17E</v>
      </c>
      <c r="C397" s="50"/>
      <c r="D397" s="111"/>
      <c r="E397" s="113"/>
      <c r="F397" s="114"/>
      <c r="G397" s="181"/>
      <c r="H397" s="183" t="str">
        <f t="shared" si="37"/>
        <v>FF</v>
      </c>
      <c r="I397" s="112"/>
    </row>
    <row r="398" spans="1:9">
      <c r="A398" s="195">
        <f t="shared" si="35"/>
        <v>383</v>
      </c>
      <c r="B398" s="116" t="str">
        <f t="shared" si="36"/>
        <v>17F</v>
      </c>
      <c r="C398" s="50"/>
      <c r="D398" s="111"/>
      <c r="E398" s="113"/>
      <c r="F398" s="114"/>
      <c r="G398" s="181"/>
      <c r="H398" s="183" t="str">
        <f t="shared" si="37"/>
        <v>FF</v>
      </c>
      <c r="I398" s="112"/>
    </row>
    <row r="399" spans="1:9">
      <c r="A399" s="195">
        <f t="shared" si="35"/>
        <v>384</v>
      </c>
      <c r="B399" s="116" t="str">
        <f t="shared" si="36"/>
        <v>180</v>
      </c>
      <c r="C399" s="50"/>
      <c r="D399" s="111"/>
      <c r="E399" s="113"/>
      <c r="F399" s="114"/>
      <c r="G399" s="181"/>
      <c r="H399" s="183" t="str">
        <f t="shared" si="37"/>
        <v>FF</v>
      </c>
      <c r="I399" s="112"/>
    </row>
    <row r="400" spans="1:9">
      <c r="A400" s="195">
        <f t="shared" si="35"/>
        <v>385</v>
      </c>
      <c r="B400" s="116" t="str">
        <f t="shared" si="36"/>
        <v>181</v>
      </c>
      <c r="C400" s="50"/>
      <c r="D400" s="111"/>
      <c r="E400" s="113"/>
      <c r="F400" s="114"/>
      <c r="G400" s="181"/>
      <c r="H400" s="183" t="str">
        <f t="shared" si="37"/>
        <v>FF</v>
      </c>
      <c r="I400" s="112"/>
    </row>
    <row r="401" spans="1:9">
      <c r="A401" s="195">
        <f t="shared" si="35"/>
        <v>386</v>
      </c>
      <c r="B401" s="116" t="str">
        <f t="shared" si="36"/>
        <v>182</v>
      </c>
      <c r="C401" s="50"/>
      <c r="D401" s="111"/>
      <c r="E401" s="113"/>
      <c r="F401" s="114"/>
      <c r="G401" s="181"/>
      <c r="H401" s="183" t="str">
        <f t="shared" si="37"/>
        <v>FF</v>
      </c>
      <c r="I401" s="112"/>
    </row>
    <row r="402" spans="1:9">
      <c r="A402" s="195">
        <f t="shared" si="35"/>
        <v>387</v>
      </c>
      <c r="B402" s="116" t="str">
        <f t="shared" si="36"/>
        <v>183</v>
      </c>
      <c r="C402" s="50"/>
      <c r="D402" s="111"/>
      <c r="E402" s="113"/>
      <c r="F402" s="114"/>
      <c r="G402" s="181"/>
      <c r="H402" s="183" t="str">
        <f t="shared" si="37"/>
        <v>FF</v>
      </c>
      <c r="I402" s="112"/>
    </row>
    <row r="403" spans="1:9">
      <c r="A403" s="195">
        <f t="shared" si="35"/>
        <v>388</v>
      </c>
      <c r="B403" s="116" t="str">
        <f t="shared" si="36"/>
        <v>184</v>
      </c>
      <c r="C403" s="50"/>
      <c r="D403" s="111"/>
      <c r="E403" s="113"/>
      <c r="F403" s="114"/>
      <c r="G403" s="181"/>
      <c r="H403" s="183" t="str">
        <f t="shared" si="37"/>
        <v>FF</v>
      </c>
      <c r="I403" s="112"/>
    </row>
    <row r="404" spans="1:9">
      <c r="A404" s="195">
        <f t="shared" si="35"/>
        <v>389</v>
      </c>
      <c r="B404" s="116" t="str">
        <f t="shared" si="36"/>
        <v>185</v>
      </c>
      <c r="C404" s="50"/>
      <c r="D404" s="111"/>
      <c r="E404" s="113"/>
      <c r="F404" s="114"/>
      <c r="G404" s="181"/>
      <c r="H404" s="183" t="str">
        <f t="shared" si="37"/>
        <v>FF</v>
      </c>
      <c r="I404" s="112"/>
    </row>
    <row r="405" spans="1:9">
      <c r="A405" s="195">
        <f t="shared" si="35"/>
        <v>390</v>
      </c>
      <c r="B405" s="116" t="str">
        <f t="shared" si="36"/>
        <v>186</v>
      </c>
      <c r="C405" s="50"/>
      <c r="D405" s="111"/>
      <c r="E405" s="113"/>
      <c r="F405" s="114"/>
      <c r="G405" s="181"/>
      <c r="H405" s="183" t="str">
        <f t="shared" si="37"/>
        <v>FF</v>
      </c>
      <c r="I405" s="112"/>
    </row>
    <row r="406" spans="1:9">
      <c r="A406" s="195">
        <f t="shared" si="35"/>
        <v>391</v>
      </c>
      <c r="B406" s="116" t="str">
        <f t="shared" si="36"/>
        <v>187</v>
      </c>
      <c r="C406" s="50"/>
      <c r="D406" s="111"/>
      <c r="E406" s="113"/>
      <c r="F406" s="114"/>
      <c r="G406" s="181"/>
      <c r="H406" s="183" t="str">
        <f t="shared" si="37"/>
        <v>FF</v>
      </c>
      <c r="I406" s="112"/>
    </row>
    <row r="407" spans="1:9">
      <c r="A407" s="195">
        <f t="shared" si="35"/>
        <v>392</v>
      </c>
      <c r="B407" s="116" t="str">
        <f t="shared" si="36"/>
        <v>188</v>
      </c>
      <c r="C407" s="50"/>
      <c r="D407" s="111"/>
      <c r="E407" s="113"/>
      <c r="F407" s="114"/>
      <c r="G407" s="181"/>
      <c r="H407" s="183" t="str">
        <f t="shared" si="37"/>
        <v>FF</v>
      </c>
      <c r="I407" s="112"/>
    </row>
    <row r="408" spans="1:9">
      <c r="A408" s="195">
        <f t="shared" si="35"/>
        <v>393</v>
      </c>
      <c r="B408" s="116" t="str">
        <f t="shared" si="36"/>
        <v>189</v>
      </c>
      <c r="C408" s="50"/>
      <c r="D408" s="111"/>
      <c r="E408" s="113"/>
      <c r="F408" s="114"/>
      <c r="G408" s="181"/>
      <c r="H408" s="183" t="str">
        <f t="shared" si="37"/>
        <v>FF</v>
      </c>
      <c r="I408" s="112"/>
    </row>
    <row r="409" spans="1:9">
      <c r="A409" s="195">
        <f t="shared" si="35"/>
        <v>394</v>
      </c>
      <c r="B409" s="116" t="str">
        <f t="shared" si="36"/>
        <v>18A</v>
      </c>
      <c r="C409" s="50"/>
      <c r="D409" s="111"/>
      <c r="E409" s="113"/>
      <c r="F409" s="114"/>
      <c r="G409" s="181"/>
      <c r="H409" s="183" t="str">
        <f t="shared" si="37"/>
        <v>FF</v>
      </c>
      <c r="I409" s="112"/>
    </row>
    <row r="410" spans="1:9">
      <c r="A410" s="195">
        <f t="shared" si="35"/>
        <v>395</v>
      </c>
      <c r="B410" s="116" t="str">
        <f t="shared" si="36"/>
        <v>18B</v>
      </c>
      <c r="C410" s="50"/>
      <c r="D410" s="111"/>
      <c r="E410" s="113"/>
      <c r="F410" s="114"/>
      <c r="G410" s="181"/>
      <c r="H410" s="183" t="str">
        <f t="shared" si="37"/>
        <v>FF</v>
      </c>
      <c r="I410" s="112"/>
    </row>
    <row r="411" spans="1:9">
      <c r="A411" s="195">
        <f t="shared" ref="A411:A474" si="38">A410+(ROW()-ROW(A410))</f>
        <v>396</v>
      </c>
      <c r="B411" s="116" t="str">
        <f t="shared" si="36"/>
        <v>18C</v>
      </c>
      <c r="C411" s="50"/>
      <c r="D411" s="111"/>
      <c r="E411" s="113"/>
      <c r="F411" s="114"/>
      <c r="G411" s="181"/>
      <c r="H411" s="183" t="str">
        <f t="shared" si="37"/>
        <v>FF</v>
      </c>
      <c r="I411" s="112"/>
    </row>
    <row r="412" spans="1:9">
      <c r="A412" s="195">
        <f t="shared" si="38"/>
        <v>397</v>
      </c>
      <c r="B412" s="116" t="str">
        <f t="shared" si="36"/>
        <v>18D</v>
      </c>
      <c r="C412" s="50"/>
      <c r="D412" s="111"/>
      <c r="E412" s="113"/>
      <c r="F412" s="114"/>
      <c r="G412" s="181"/>
      <c r="H412" s="183" t="str">
        <f t="shared" si="37"/>
        <v>FF</v>
      </c>
      <c r="I412" s="112"/>
    </row>
    <row r="413" spans="1:9">
      <c r="A413" s="195">
        <f t="shared" si="38"/>
        <v>398</v>
      </c>
      <c r="B413" s="116" t="str">
        <f t="shared" si="36"/>
        <v>18E</v>
      </c>
      <c r="C413" s="50"/>
      <c r="D413" s="111"/>
      <c r="E413" s="113"/>
      <c r="F413" s="114"/>
      <c r="G413" s="181"/>
      <c r="H413" s="183" t="str">
        <f t="shared" si="37"/>
        <v>FF</v>
      </c>
      <c r="I413" s="112"/>
    </row>
    <row r="414" spans="1:9">
      <c r="A414" s="195">
        <f t="shared" si="38"/>
        <v>399</v>
      </c>
      <c r="B414" s="116" t="str">
        <f t="shared" si="36"/>
        <v>18F</v>
      </c>
      <c r="C414" s="50"/>
      <c r="D414" s="111"/>
      <c r="E414" s="113"/>
      <c r="F414" s="114"/>
      <c r="G414" s="181"/>
      <c r="H414" s="183" t="str">
        <f t="shared" si="37"/>
        <v>FF</v>
      </c>
      <c r="I414" s="112"/>
    </row>
    <row r="415" spans="1:9">
      <c r="A415" s="195">
        <f t="shared" si="38"/>
        <v>400</v>
      </c>
      <c r="B415" s="116" t="str">
        <f t="shared" si="36"/>
        <v>190</v>
      </c>
      <c r="C415" s="50"/>
      <c r="D415" s="111"/>
      <c r="E415" s="113"/>
      <c r="F415" s="114"/>
      <c r="G415" s="181"/>
      <c r="H415" s="183" t="str">
        <f t="shared" si="37"/>
        <v>FF</v>
      </c>
      <c r="I415" s="112"/>
    </row>
    <row r="416" spans="1:9">
      <c r="A416" s="195">
        <f t="shared" si="38"/>
        <v>401</v>
      </c>
      <c r="B416" s="116" t="str">
        <f t="shared" si="36"/>
        <v>191</v>
      </c>
      <c r="C416" s="50"/>
      <c r="D416" s="111"/>
      <c r="E416" s="113"/>
      <c r="F416" s="114"/>
      <c r="G416" s="181"/>
      <c r="H416" s="183" t="str">
        <f t="shared" si="37"/>
        <v>FF</v>
      </c>
      <c r="I416" s="112"/>
    </row>
    <row r="417" spans="1:9">
      <c r="A417" s="195">
        <f t="shared" si="38"/>
        <v>402</v>
      </c>
      <c r="B417" s="116" t="str">
        <f t="shared" si="36"/>
        <v>192</v>
      </c>
      <c r="C417" s="50"/>
      <c r="D417" s="111"/>
      <c r="E417" s="113"/>
      <c r="F417" s="114"/>
      <c r="G417" s="181"/>
      <c r="H417" s="183" t="str">
        <f t="shared" si="37"/>
        <v>FF</v>
      </c>
      <c r="I417" s="112"/>
    </row>
    <row r="418" spans="1:9">
      <c r="A418" s="195">
        <f t="shared" si="38"/>
        <v>403</v>
      </c>
      <c r="B418" s="116" t="str">
        <f t="shared" si="36"/>
        <v>193</v>
      </c>
      <c r="C418" s="50"/>
      <c r="D418" s="111"/>
      <c r="E418" s="113"/>
      <c r="F418" s="114"/>
      <c r="G418" s="181"/>
      <c r="H418" s="183" t="str">
        <f t="shared" si="37"/>
        <v>FF</v>
      </c>
      <c r="I418" s="112"/>
    </row>
    <row r="419" spans="1:9">
      <c r="A419" s="195">
        <f t="shared" si="38"/>
        <v>404</v>
      </c>
      <c r="B419" s="116" t="str">
        <f t="shared" si="36"/>
        <v>194</v>
      </c>
      <c r="C419" s="50"/>
      <c r="D419" s="111"/>
      <c r="E419" s="113"/>
      <c r="F419" s="114"/>
      <c r="G419" s="181"/>
      <c r="H419" s="183" t="str">
        <f t="shared" si="37"/>
        <v>FF</v>
      </c>
      <c r="I419" s="112"/>
    </row>
    <row r="420" spans="1:9">
      <c r="A420" s="195">
        <f t="shared" si="38"/>
        <v>405</v>
      </c>
      <c r="B420" s="116" t="str">
        <f t="shared" si="36"/>
        <v>195</v>
      </c>
      <c r="C420" s="50"/>
      <c r="D420" s="111"/>
      <c r="E420" s="113"/>
      <c r="F420" s="114"/>
      <c r="G420" s="181"/>
      <c r="H420" s="183" t="str">
        <f t="shared" si="37"/>
        <v>FF</v>
      </c>
      <c r="I420" s="112"/>
    </row>
    <row r="421" spans="1:9">
      <c r="A421" s="195">
        <f t="shared" si="38"/>
        <v>406</v>
      </c>
      <c r="B421" s="116" t="str">
        <f t="shared" si="36"/>
        <v>196</v>
      </c>
      <c r="C421" s="50"/>
      <c r="D421" s="111"/>
      <c r="E421" s="113"/>
      <c r="F421" s="114"/>
      <c r="G421" s="181"/>
      <c r="H421" s="183" t="str">
        <f t="shared" si="37"/>
        <v>FF</v>
      </c>
      <c r="I421" s="112"/>
    </row>
    <row r="422" spans="1:9">
      <c r="A422" s="195">
        <f t="shared" si="38"/>
        <v>407</v>
      </c>
      <c r="B422" s="116" t="str">
        <f t="shared" si="36"/>
        <v>197</v>
      </c>
      <c r="C422" s="50"/>
      <c r="D422" s="111"/>
      <c r="E422" s="113"/>
      <c r="F422" s="114"/>
      <c r="G422" s="181"/>
      <c r="H422" s="183" t="str">
        <f t="shared" si="37"/>
        <v>FF</v>
      </c>
      <c r="I422" s="112"/>
    </row>
    <row r="423" spans="1:9">
      <c r="A423" s="195">
        <f t="shared" si="38"/>
        <v>408</v>
      </c>
      <c r="B423" s="116" t="str">
        <f t="shared" si="36"/>
        <v>198</v>
      </c>
      <c r="C423" s="50"/>
      <c r="D423" s="111"/>
      <c r="E423" s="113"/>
      <c r="F423" s="114"/>
      <c r="G423" s="181"/>
      <c r="H423" s="183" t="str">
        <f t="shared" si="37"/>
        <v>FF</v>
      </c>
      <c r="I423" s="112"/>
    </row>
    <row r="424" spans="1:9">
      <c r="A424" s="195">
        <f t="shared" si="38"/>
        <v>409</v>
      </c>
      <c r="B424" s="116" t="str">
        <f t="shared" si="36"/>
        <v>199</v>
      </c>
      <c r="C424" s="50"/>
      <c r="D424" s="111"/>
      <c r="E424" s="113"/>
      <c r="F424" s="114"/>
      <c r="G424" s="181"/>
      <c r="H424" s="183" t="str">
        <f t="shared" si="37"/>
        <v>FF</v>
      </c>
      <c r="I424" s="112"/>
    </row>
    <row r="425" spans="1:9">
      <c r="A425" s="195">
        <f t="shared" si="38"/>
        <v>410</v>
      </c>
      <c r="B425" s="116" t="str">
        <f t="shared" si="36"/>
        <v>19A</v>
      </c>
      <c r="C425" s="50"/>
      <c r="D425" s="111"/>
      <c r="E425" s="113"/>
      <c r="F425" s="114"/>
      <c r="G425" s="181"/>
      <c r="H425" s="183" t="str">
        <f t="shared" si="37"/>
        <v>FF</v>
      </c>
      <c r="I425" s="112"/>
    </row>
    <row r="426" spans="1:9">
      <c r="A426" s="195">
        <f t="shared" si="38"/>
        <v>411</v>
      </c>
      <c r="B426" s="116" t="str">
        <f t="shared" si="36"/>
        <v>19B</v>
      </c>
      <c r="C426" s="50"/>
      <c r="D426" s="111"/>
      <c r="E426" s="113"/>
      <c r="F426" s="114"/>
      <c r="G426" s="181"/>
      <c r="H426" s="183" t="str">
        <f t="shared" si="37"/>
        <v>FF</v>
      </c>
      <c r="I426" s="112"/>
    </row>
    <row r="427" spans="1:9">
      <c r="A427" s="195">
        <f t="shared" si="38"/>
        <v>412</v>
      </c>
      <c r="B427" s="116" t="str">
        <f t="shared" si="36"/>
        <v>19C</v>
      </c>
      <c r="C427" s="50"/>
      <c r="D427" s="111"/>
      <c r="E427" s="113"/>
      <c r="F427" s="114"/>
      <c r="G427" s="181"/>
      <c r="H427" s="183" t="str">
        <f t="shared" si="37"/>
        <v>FF</v>
      </c>
      <c r="I427" s="112"/>
    </row>
    <row r="428" spans="1:9">
      <c r="A428" s="195">
        <f t="shared" si="38"/>
        <v>413</v>
      </c>
      <c r="B428" s="116" t="str">
        <f t="shared" si="36"/>
        <v>19D</v>
      </c>
      <c r="C428" s="50"/>
      <c r="D428" s="111"/>
      <c r="E428" s="113"/>
      <c r="F428" s="114"/>
      <c r="G428" s="181"/>
      <c r="H428" s="183" t="str">
        <f t="shared" si="37"/>
        <v>FF</v>
      </c>
      <c r="I428" s="112"/>
    </row>
    <row r="429" spans="1:9">
      <c r="A429" s="195">
        <f t="shared" si="38"/>
        <v>414</v>
      </c>
      <c r="B429" s="116" t="str">
        <f t="shared" si="36"/>
        <v>19E</v>
      </c>
      <c r="C429" s="50"/>
      <c r="D429" s="111"/>
      <c r="E429" s="113"/>
      <c r="F429" s="114"/>
      <c r="G429" s="181"/>
      <c r="H429" s="183" t="str">
        <f t="shared" si="37"/>
        <v>FF</v>
      </c>
      <c r="I429" s="112"/>
    </row>
    <row r="430" spans="1:9">
      <c r="A430" s="195">
        <f t="shared" si="38"/>
        <v>415</v>
      </c>
      <c r="B430" s="116" t="str">
        <f t="shared" si="36"/>
        <v>19F</v>
      </c>
      <c r="C430" s="50"/>
      <c r="D430" s="111"/>
      <c r="E430" s="113"/>
      <c r="F430" s="114"/>
      <c r="G430" s="181"/>
      <c r="H430" s="183" t="str">
        <f t="shared" si="37"/>
        <v>FF</v>
      </c>
      <c r="I430" s="112"/>
    </row>
    <row r="431" spans="1:9">
      <c r="A431" s="195">
        <f t="shared" si="38"/>
        <v>416</v>
      </c>
      <c r="B431" s="116" t="str">
        <f t="shared" si="36"/>
        <v>1A0</v>
      </c>
      <c r="C431" s="50"/>
      <c r="D431" s="111"/>
      <c r="E431" s="113"/>
      <c r="F431" s="114"/>
      <c r="G431" s="181"/>
      <c r="H431" s="183" t="str">
        <f t="shared" si="37"/>
        <v>FF</v>
      </c>
      <c r="I431" s="112"/>
    </row>
    <row r="432" spans="1:9">
      <c r="A432" s="195">
        <f t="shared" si="38"/>
        <v>417</v>
      </c>
      <c r="B432" s="116" t="str">
        <f t="shared" si="36"/>
        <v>1A1</v>
      </c>
      <c r="C432" s="50"/>
      <c r="D432" s="111"/>
      <c r="E432" s="113"/>
      <c r="F432" s="114"/>
      <c r="G432" s="181"/>
      <c r="H432" s="183" t="str">
        <f t="shared" si="37"/>
        <v>FF</v>
      </c>
      <c r="I432" s="112"/>
    </row>
    <row r="433" spans="1:9">
      <c r="A433" s="195">
        <f t="shared" si="38"/>
        <v>418</v>
      </c>
      <c r="B433" s="116" t="str">
        <f t="shared" si="36"/>
        <v>1A2</v>
      </c>
      <c r="C433" s="50"/>
      <c r="D433" s="111"/>
      <c r="E433" s="113"/>
      <c r="F433" s="114"/>
      <c r="G433" s="181"/>
      <c r="H433" s="183" t="str">
        <f t="shared" si="37"/>
        <v>FF</v>
      </c>
      <c r="I433" s="112"/>
    </row>
    <row r="434" spans="1:9">
      <c r="A434" s="195">
        <f t="shared" si="38"/>
        <v>419</v>
      </c>
      <c r="B434" s="116" t="str">
        <f t="shared" si="36"/>
        <v>1A3</v>
      </c>
      <c r="C434" s="50"/>
      <c r="D434" s="111"/>
      <c r="E434" s="113"/>
      <c r="F434" s="114"/>
      <c r="G434" s="181"/>
      <c r="H434" s="183" t="str">
        <f t="shared" si="37"/>
        <v>FF</v>
      </c>
      <c r="I434" s="112"/>
    </row>
    <row r="435" spans="1:9">
      <c r="A435" s="195">
        <f t="shared" si="38"/>
        <v>420</v>
      </c>
      <c r="B435" s="116" t="str">
        <f t="shared" si="36"/>
        <v>1A4</v>
      </c>
      <c r="C435" s="50"/>
      <c r="D435" s="111"/>
      <c r="E435" s="113"/>
      <c r="F435" s="114"/>
      <c r="G435" s="181"/>
      <c r="H435" s="183" t="str">
        <f t="shared" si="37"/>
        <v>FF</v>
      </c>
      <c r="I435" s="112"/>
    </row>
    <row r="436" spans="1:9">
      <c r="A436" s="195">
        <f t="shared" si="38"/>
        <v>421</v>
      </c>
      <c r="B436" s="116" t="str">
        <f t="shared" si="36"/>
        <v>1A5</v>
      </c>
      <c r="C436" s="50"/>
      <c r="D436" s="111"/>
      <c r="E436" s="113"/>
      <c r="F436" s="114"/>
      <c r="G436" s="181"/>
      <c r="H436" s="183" t="str">
        <f t="shared" si="37"/>
        <v>FF</v>
      </c>
      <c r="I436" s="112"/>
    </row>
    <row r="437" spans="1:9">
      <c r="A437" s="195">
        <f t="shared" si="38"/>
        <v>422</v>
      </c>
      <c r="B437" s="116" t="str">
        <f t="shared" si="36"/>
        <v>1A6</v>
      </c>
      <c r="C437" s="50"/>
      <c r="D437" s="111"/>
      <c r="E437" s="113"/>
      <c r="F437" s="114"/>
      <c r="G437" s="181"/>
      <c r="H437" s="183" t="str">
        <f t="shared" si="37"/>
        <v>FF</v>
      </c>
      <c r="I437" s="112"/>
    </row>
    <row r="438" spans="1:9">
      <c r="A438" s="195">
        <f t="shared" si="38"/>
        <v>423</v>
      </c>
      <c r="B438" s="116" t="str">
        <f t="shared" ref="B438:B501" si="39">DEC2HEX(A438,3)</f>
        <v>1A7</v>
      </c>
      <c r="C438" s="50"/>
      <c r="D438" s="111"/>
      <c r="E438" s="113"/>
      <c r="F438" s="114"/>
      <c r="G438" s="181"/>
      <c r="H438" s="183" t="str">
        <f t="shared" si="37"/>
        <v>FF</v>
      </c>
      <c r="I438" s="112"/>
    </row>
    <row r="439" spans="1:9">
      <c r="A439" s="195">
        <f t="shared" si="38"/>
        <v>424</v>
      </c>
      <c r="B439" s="116" t="str">
        <f t="shared" si="39"/>
        <v>1A8</v>
      </c>
      <c r="C439" s="50"/>
      <c r="D439" s="111"/>
      <c r="E439" s="113"/>
      <c r="F439" s="114"/>
      <c r="G439" s="181"/>
      <c r="H439" s="183" t="str">
        <f t="shared" si="37"/>
        <v>FF</v>
      </c>
      <c r="I439" s="112"/>
    </row>
    <row r="440" spans="1:9">
      <c r="A440" s="195">
        <f t="shared" si="38"/>
        <v>425</v>
      </c>
      <c r="B440" s="116" t="str">
        <f t="shared" si="39"/>
        <v>1A9</v>
      </c>
      <c r="C440" s="50"/>
      <c r="D440" s="111"/>
      <c r="E440" s="113"/>
      <c r="F440" s="114"/>
      <c r="G440" s="181"/>
      <c r="H440" s="183" t="str">
        <f t="shared" si="37"/>
        <v>FF</v>
      </c>
      <c r="I440" s="112"/>
    </row>
    <row r="441" spans="1:9">
      <c r="A441" s="195">
        <f t="shared" si="38"/>
        <v>426</v>
      </c>
      <c r="B441" s="116" t="str">
        <f t="shared" si="39"/>
        <v>1AA</v>
      </c>
      <c r="C441" s="50"/>
      <c r="D441" s="111"/>
      <c r="E441" s="113"/>
      <c r="F441" s="114"/>
      <c r="G441" s="181"/>
      <c r="H441" s="183" t="str">
        <f t="shared" si="37"/>
        <v>FF</v>
      </c>
      <c r="I441" s="112"/>
    </row>
    <row r="442" spans="1:9">
      <c r="A442" s="195">
        <f t="shared" si="38"/>
        <v>427</v>
      </c>
      <c r="B442" s="116" t="str">
        <f t="shared" si="39"/>
        <v>1AB</v>
      </c>
      <c r="C442" s="50"/>
      <c r="D442" s="111"/>
      <c r="E442" s="113"/>
      <c r="F442" s="114"/>
      <c r="G442" s="181"/>
      <c r="H442" s="183" t="str">
        <f t="shared" si="37"/>
        <v>FF</v>
      </c>
      <c r="I442" s="112"/>
    </row>
    <row r="443" spans="1:9">
      <c r="A443" s="195">
        <f t="shared" si="38"/>
        <v>428</v>
      </c>
      <c r="B443" s="116" t="str">
        <f t="shared" si="39"/>
        <v>1AC</v>
      </c>
      <c r="C443" s="50"/>
      <c r="D443" s="111"/>
      <c r="E443" s="113"/>
      <c r="F443" s="114"/>
      <c r="G443" s="181"/>
      <c r="H443" s="183" t="str">
        <f t="shared" si="37"/>
        <v>FF</v>
      </c>
      <c r="I443" s="112"/>
    </row>
    <row r="444" spans="1:9">
      <c r="A444" s="195">
        <f t="shared" si="38"/>
        <v>429</v>
      </c>
      <c r="B444" s="116" t="str">
        <f t="shared" si="39"/>
        <v>1AD</v>
      </c>
      <c r="C444" s="50"/>
      <c r="D444" s="111"/>
      <c r="E444" s="113"/>
      <c r="F444" s="114"/>
      <c r="G444" s="181"/>
      <c r="H444" s="183" t="str">
        <f t="shared" si="37"/>
        <v>FF</v>
      </c>
      <c r="I444" s="112"/>
    </row>
    <row r="445" spans="1:9">
      <c r="A445" s="195">
        <f t="shared" si="38"/>
        <v>430</v>
      </c>
      <c r="B445" s="116" t="str">
        <f t="shared" si="39"/>
        <v>1AE</v>
      </c>
      <c r="C445" s="50"/>
      <c r="D445" s="111"/>
      <c r="E445" s="113"/>
      <c r="F445" s="114"/>
      <c r="G445" s="181"/>
      <c r="H445" s="183" t="str">
        <f t="shared" si="37"/>
        <v>FF</v>
      </c>
      <c r="I445" s="112"/>
    </row>
    <row r="446" spans="1:9">
      <c r="A446" s="195">
        <f t="shared" si="38"/>
        <v>431</v>
      </c>
      <c r="B446" s="116" t="str">
        <f t="shared" si="39"/>
        <v>1AF</v>
      </c>
      <c r="C446" s="50"/>
      <c r="D446" s="111"/>
      <c r="E446" s="113"/>
      <c r="F446" s="114"/>
      <c r="G446" s="181"/>
      <c r="H446" s="183" t="str">
        <f t="shared" si="37"/>
        <v>FF</v>
      </c>
      <c r="I446" s="112"/>
    </row>
    <row r="447" spans="1:9">
      <c r="A447" s="195">
        <f t="shared" si="38"/>
        <v>432</v>
      </c>
      <c r="B447" s="116" t="str">
        <f t="shared" si="39"/>
        <v>1B0</v>
      </c>
      <c r="C447" s="50"/>
      <c r="D447" s="111"/>
      <c r="E447" s="113"/>
      <c r="F447" s="114"/>
      <c r="G447" s="181"/>
      <c r="H447" s="183" t="str">
        <f t="shared" si="37"/>
        <v>FF</v>
      </c>
      <c r="I447" s="112"/>
    </row>
    <row r="448" spans="1:9">
      <c r="A448" s="195">
        <f t="shared" si="38"/>
        <v>433</v>
      </c>
      <c r="B448" s="116" t="str">
        <f t="shared" si="39"/>
        <v>1B1</v>
      </c>
      <c r="C448" s="50"/>
      <c r="D448" s="111"/>
      <c r="E448" s="113"/>
      <c r="F448" s="114"/>
      <c r="G448" s="181"/>
      <c r="H448" s="183" t="str">
        <f t="shared" si="37"/>
        <v>FF</v>
      </c>
      <c r="I448" s="112"/>
    </row>
    <row r="449" spans="1:9">
      <c r="A449" s="195">
        <f t="shared" si="38"/>
        <v>434</v>
      </c>
      <c r="B449" s="116" t="str">
        <f t="shared" si="39"/>
        <v>1B2</v>
      </c>
      <c r="C449" s="50"/>
      <c r="D449" s="111"/>
      <c r="E449" s="113"/>
      <c r="F449" s="114"/>
      <c r="G449" s="181"/>
      <c r="H449" s="183" t="str">
        <f t="shared" si="37"/>
        <v>FF</v>
      </c>
      <c r="I449" s="112"/>
    </row>
    <row r="450" spans="1:9">
      <c r="A450" s="195">
        <f t="shared" si="38"/>
        <v>435</v>
      </c>
      <c r="B450" s="116" t="str">
        <f t="shared" si="39"/>
        <v>1B3</v>
      </c>
      <c r="C450" s="50"/>
      <c r="D450" s="111"/>
      <c r="E450" s="113"/>
      <c r="F450" s="114"/>
      <c r="G450" s="181"/>
      <c r="H450" s="183" t="str">
        <f t="shared" si="37"/>
        <v>FF</v>
      </c>
      <c r="I450" s="112"/>
    </row>
    <row r="451" spans="1:9">
      <c r="A451" s="195">
        <f t="shared" si="38"/>
        <v>436</v>
      </c>
      <c r="B451" s="116" t="str">
        <f t="shared" si="39"/>
        <v>1B4</v>
      </c>
      <c r="C451" s="50"/>
      <c r="D451" s="111"/>
      <c r="E451" s="113"/>
      <c r="F451" s="114"/>
      <c r="G451" s="181"/>
      <c r="H451" s="183" t="str">
        <f t="shared" si="37"/>
        <v>FF</v>
      </c>
      <c r="I451" s="112"/>
    </row>
    <row r="452" spans="1:9">
      <c r="A452" s="195">
        <f t="shared" si="38"/>
        <v>437</v>
      </c>
      <c r="B452" s="116" t="str">
        <f t="shared" si="39"/>
        <v>1B5</v>
      </c>
      <c r="C452" s="50"/>
      <c r="D452" s="111"/>
      <c r="E452" s="113"/>
      <c r="F452" s="114"/>
      <c r="G452" s="181"/>
      <c r="H452" s="183" t="str">
        <f t="shared" si="37"/>
        <v>FF</v>
      </c>
      <c r="I452" s="112"/>
    </row>
    <row r="453" spans="1:9">
      <c r="A453" s="195">
        <f t="shared" si="38"/>
        <v>438</v>
      </c>
      <c r="B453" s="116" t="str">
        <f t="shared" si="39"/>
        <v>1B6</v>
      </c>
      <c r="C453" s="50"/>
      <c r="D453" s="111"/>
      <c r="E453" s="113"/>
      <c r="F453" s="114"/>
      <c r="G453" s="181"/>
      <c r="H453" s="183" t="str">
        <f t="shared" si="37"/>
        <v>FF</v>
      </c>
      <c r="I453" s="112"/>
    </row>
    <row r="454" spans="1:9">
      <c r="A454" s="195">
        <f t="shared" si="38"/>
        <v>439</v>
      </c>
      <c r="B454" s="116" t="str">
        <f t="shared" si="39"/>
        <v>1B7</v>
      </c>
      <c r="C454" s="50"/>
      <c r="D454" s="111"/>
      <c r="E454" s="113"/>
      <c r="F454" s="114"/>
      <c r="G454" s="181"/>
      <c r="H454" s="183" t="str">
        <f t="shared" si="37"/>
        <v>FF</v>
      </c>
      <c r="I454" s="112"/>
    </row>
    <row r="455" spans="1:9">
      <c r="A455" s="195">
        <f t="shared" si="38"/>
        <v>440</v>
      </c>
      <c r="B455" s="116" t="str">
        <f t="shared" si="39"/>
        <v>1B8</v>
      </c>
      <c r="C455" s="50"/>
      <c r="D455" s="111"/>
      <c r="E455" s="113"/>
      <c r="F455" s="114"/>
      <c r="G455" s="181"/>
      <c r="H455" s="183" t="str">
        <f t="shared" si="37"/>
        <v>FF</v>
      </c>
      <c r="I455" s="112"/>
    </row>
    <row r="456" spans="1:9">
      <c r="A456" s="195">
        <f t="shared" si="38"/>
        <v>441</v>
      </c>
      <c r="B456" s="116" t="str">
        <f t="shared" si="39"/>
        <v>1B9</v>
      </c>
      <c r="C456" s="50"/>
      <c r="D456" s="111"/>
      <c r="E456" s="113"/>
      <c r="F456" s="114"/>
      <c r="G456" s="181"/>
      <c r="H456" s="183" t="str">
        <f t="shared" si="37"/>
        <v>FF</v>
      </c>
      <c r="I456" s="112"/>
    </row>
    <row r="457" spans="1:9">
      <c r="A457" s="195">
        <f t="shared" si="38"/>
        <v>442</v>
      </c>
      <c r="B457" s="116" t="str">
        <f t="shared" si="39"/>
        <v>1BA</v>
      </c>
      <c r="C457" s="50"/>
      <c r="D457" s="111"/>
      <c r="E457" s="113"/>
      <c r="F457" s="114"/>
      <c r="G457" s="181"/>
      <c r="H457" s="183" t="str">
        <f t="shared" si="37"/>
        <v>FF</v>
      </c>
      <c r="I457" s="112"/>
    </row>
    <row r="458" spans="1:9">
      <c r="A458" s="195">
        <f t="shared" si="38"/>
        <v>443</v>
      </c>
      <c r="B458" s="116" t="str">
        <f t="shared" si="39"/>
        <v>1BB</v>
      </c>
      <c r="C458" s="50"/>
      <c r="D458" s="111"/>
      <c r="E458" s="113"/>
      <c r="F458" s="114"/>
      <c r="G458" s="181"/>
      <c r="H458" s="183" t="str">
        <f t="shared" si="37"/>
        <v>FF</v>
      </c>
      <c r="I458" s="112"/>
    </row>
    <row r="459" spans="1:9">
      <c r="A459" s="195">
        <f t="shared" si="38"/>
        <v>444</v>
      </c>
      <c r="B459" s="116" t="str">
        <f t="shared" si="39"/>
        <v>1BC</v>
      </c>
      <c r="C459" s="50"/>
      <c r="D459" s="111"/>
      <c r="E459" s="113"/>
      <c r="F459" s="114"/>
      <c r="G459" s="181"/>
      <c r="H459" s="183" t="str">
        <f t="shared" si="37"/>
        <v>FF</v>
      </c>
      <c r="I459" s="112"/>
    </row>
    <row r="460" spans="1:9">
      <c r="A460" s="195">
        <f t="shared" si="38"/>
        <v>445</v>
      </c>
      <c r="B460" s="116" t="str">
        <f t="shared" si="39"/>
        <v>1BD</v>
      </c>
      <c r="C460" s="50"/>
      <c r="D460" s="111"/>
      <c r="E460" s="113"/>
      <c r="F460" s="114"/>
      <c r="G460" s="181"/>
      <c r="H460" s="183" t="str">
        <f t="shared" si="37"/>
        <v>FF</v>
      </c>
      <c r="I460" s="112"/>
    </row>
    <row r="461" spans="1:9">
      <c r="A461" s="195">
        <f t="shared" si="38"/>
        <v>446</v>
      </c>
      <c r="B461" s="116" t="str">
        <f t="shared" si="39"/>
        <v>1BE</v>
      </c>
      <c r="C461" s="50"/>
      <c r="D461" s="111"/>
      <c r="E461" s="113"/>
      <c r="F461" s="114"/>
      <c r="G461" s="181"/>
      <c r="H461" s="183" t="str">
        <f t="shared" si="37"/>
        <v>FF</v>
      </c>
      <c r="I461" s="112"/>
    </row>
    <row r="462" spans="1:9">
      <c r="A462" s="195">
        <f t="shared" si="38"/>
        <v>447</v>
      </c>
      <c r="B462" s="116" t="str">
        <f t="shared" si="39"/>
        <v>1BF</v>
      </c>
      <c r="C462" s="50"/>
      <c r="D462" s="111"/>
      <c r="E462" s="113"/>
      <c r="F462" s="114"/>
      <c r="G462" s="181"/>
      <c r="H462" s="183" t="str">
        <f t="shared" si="37"/>
        <v>FF</v>
      </c>
      <c r="I462" s="112"/>
    </row>
    <row r="463" spans="1:9">
      <c r="A463" s="195">
        <f t="shared" si="38"/>
        <v>448</v>
      </c>
      <c r="B463" s="116" t="str">
        <f t="shared" si="39"/>
        <v>1C0</v>
      </c>
      <c r="C463" s="50"/>
      <c r="D463" s="111"/>
      <c r="E463" s="113"/>
      <c r="F463" s="114"/>
      <c r="G463" s="181"/>
      <c r="H463" s="183" t="str">
        <f t="shared" si="37"/>
        <v>FF</v>
      </c>
      <c r="I463" s="112"/>
    </row>
    <row r="464" spans="1:9">
      <c r="A464" s="195">
        <f t="shared" si="38"/>
        <v>449</v>
      </c>
      <c r="B464" s="116" t="str">
        <f t="shared" si="39"/>
        <v>1C1</v>
      </c>
      <c r="C464" s="50"/>
      <c r="D464" s="111"/>
      <c r="E464" s="113"/>
      <c r="F464" s="114"/>
      <c r="G464" s="181"/>
      <c r="H464" s="183" t="str">
        <f t="shared" si="37"/>
        <v>FF</v>
      </c>
      <c r="I464" s="112"/>
    </row>
    <row r="465" spans="1:9">
      <c r="A465" s="195">
        <f t="shared" si="38"/>
        <v>450</v>
      </c>
      <c r="B465" s="116" t="str">
        <f t="shared" si="39"/>
        <v>1C2</v>
      </c>
      <c r="C465" s="50"/>
      <c r="D465" s="111"/>
      <c r="E465" s="113"/>
      <c r="F465" s="114"/>
      <c r="G465" s="181"/>
      <c r="H465" s="183" t="str">
        <f t="shared" si="37"/>
        <v>FF</v>
      </c>
      <c r="I465" s="112"/>
    </row>
    <row r="466" spans="1:9">
      <c r="A466" s="195">
        <f t="shared" si="38"/>
        <v>451</v>
      </c>
      <c r="B466" s="116" t="str">
        <f t="shared" si="39"/>
        <v>1C3</v>
      </c>
      <c r="C466" s="50"/>
      <c r="D466" s="111"/>
      <c r="E466" s="113"/>
      <c r="F466" s="114"/>
      <c r="G466" s="181"/>
      <c r="H466" s="183" t="str">
        <f t="shared" si="37"/>
        <v>FF</v>
      </c>
      <c r="I466" s="112"/>
    </row>
    <row r="467" spans="1:9">
      <c r="A467" s="195">
        <f t="shared" si="38"/>
        <v>452</v>
      </c>
      <c r="B467" s="116" t="str">
        <f t="shared" si="39"/>
        <v>1C4</v>
      </c>
      <c r="C467" s="50"/>
      <c r="D467" s="111"/>
      <c r="E467" s="113"/>
      <c r="F467" s="114"/>
      <c r="G467" s="181"/>
      <c r="H467" s="183" t="str">
        <f t="shared" si="37"/>
        <v>FF</v>
      </c>
      <c r="I467" s="112"/>
    </row>
    <row r="468" spans="1:9">
      <c r="A468" s="195">
        <f t="shared" si="38"/>
        <v>453</v>
      </c>
      <c r="B468" s="116" t="str">
        <f t="shared" si="39"/>
        <v>1C5</v>
      </c>
      <c r="C468" s="50"/>
      <c r="D468" s="111"/>
      <c r="E468" s="113"/>
      <c r="F468" s="114"/>
      <c r="G468" s="181"/>
      <c r="H468" s="183" t="str">
        <f t="shared" si="37"/>
        <v>FF</v>
      </c>
      <c r="I468" s="112"/>
    </row>
    <row r="469" spans="1:9">
      <c r="A469" s="195">
        <f t="shared" si="38"/>
        <v>454</v>
      </c>
      <c r="B469" s="116" t="str">
        <f t="shared" si="39"/>
        <v>1C6</v>
      </c>
      <c r="C469" s="50"/>
      <c r="D469" s="111"/>
      <c r="E469" s="113"/>
      <c r="F469" s="114"/>
      <c r="G469" s="181"/>
      <c r="H469" s="183" t="str">
        <f t="shared" si="37"/>
        <v>FF</v>
      </c>
      <c r="I469" s="112"/>
    </row>
    <row r="470" spans="1:9">
      <c r="A470" s="195">
        <f t="shared" si="38"/>
        <v>455</v>
      </c>
      <c r="B470" s="116" t="str">
        <f t="shared" si="39"/>
        <v>1C7</v>
      </c>
      <c r="C470" s="50"/>
      <c r="D470" s="111"/>
      <c r="E470" s="113"/>
      <c r="F470" s="114"/>
      <c r="G470" s="181"/>
      <c r="H470" s="183" t="str">
        <f t="shared" si="37"/>
        <v>FF</v>
      </c>
      <c r="I470" s="112"/>
    </row>
    <row r="471" spans="1:9">
      <c r="A471" s="195">
        <f t="shared" si="38"/>
        <v>456</v>
      </c>
      <c r="B471" s="116" t="str">
        <f t="shared" si="39"/>
        <v>1C8</v>
      </c>
      <c r="C471" s="50"/>
      <c r="D471" s="111"/>
      <c r="E471" s="113"/>
      <c r="F471" s="114"/>
      <c r="G471" s="181"/>
      <c r="H471" s="183" t="str">
        <f t="shared" si="37"/>
        <v>FF</v>
      </c>
      <c r="I471" s="112"/>
    </row>
    <row r="472" spans="1:9">
      <c r="A472" s="195">
        <f t="shared" si="38"/>
        <v>457</v>
      </c>
      <c r="B472" s="116" t="str">
        <f t="shared" si="39"/>
        <v>1C9</v>
      </c>
      <c r="C472" s="50"/>
      <c r="D472" s="111"/>
      <c r="E472" s="113"/>
      <c r="F472" s="114"/>
      <c r="G472" s="181"/>
      <c r="H472" s="183" t="str">
        <f t="shared" si="37"/>
        <v>FF</v>
      </c>
      <c r="I472" s="112"/>
    </row>
    <row r="473" spans="1:9">
      <c r="A473" s="195">
        <f t="shared" si="38"/>
        <v>458</v>
      </c>
      <c r="B473" s="116" t="str">
        <f t="shared" si="39"/>
        <v>1CA</v>
      </c>
      <c r="C473" s="50"/>
      <c r="D473" s="111"/>
      <c r="E473" s="113"/>
      <c r="F473" s="114"/>
      <c r="G473" s="181"/>
      <c r="H473" s="183" t="str">
        <f t="shared" si="37"/>
        <v>FF</v>
      </c>
      <c r="I473" s="112"/>
    </row>
    <row r="474" spans="1:9">
      <c r="A474" s="195">
        <f t="shared" si="38"/>
        <v>459</v>
      </c>
      <c r="B474" s="116" t="str">
        <f t="shared" si="39"/>
        <v>1CB</v>
      </c>
      <c r="C474" s="50"/>
      <c r="D474" s="111"/>
      <c r="E474" s="113"/>
      <c r="F474" s="114"/>
      <c r="G474" s="181"/>
      <c r="H474" s="183" t="str">
        <f t="shared" si="37"/>
        <v>FF</v>
      </c>
      <c r="I474" s="112"/>
    </row>
    <row r="475" spans="1:9">
      <c r="A475" s="195">
        <f t="shared" ref="A475:A538" si="40">A474+(ROW()-ROW(A474))</f>
        <v>460</v>
      </c>
      <c r="B475" s="116" t="str">
        <f t="shared" si="39"/>
        <v>1CC</v>
      </c>
      <c r="C475" s="50"/>
      <c r="D475" s="111"/>
      <c r="E475" s="113"/>
      <c r="F475" s="114"/>
      <c r="G475" s="181"/>
      <c r="H475" s="183" t="str">
        <f t="shared" si="37"/>
        <v>FF</v>
      </c>
      <c r="I475" s="112"/>
    </row>
    <row r="476" spans="1:9">
      <c r="A476" s="195">
        <f t="shared" si="40"/>
        <v>461</v>
      </c>
      <c r="B476" s="116" t="str">
        <f t="shared" si="39"/>
        <v>1CD</v>
      </c>
      <c r="C476" s="50"/>
      <c r="D476" s="111"/>
      <c r="E476" s="113"/>
      <c r="F476" s="114"/>
      <c r="G476" s="181"/>
      <c r="H476" s="183" t="str">
        <f t="shared" si="37"/>
        <v>FF</v>
      </c>
      <c r="I476" s="112"/>
    </row>
    <row r="477" spans="1:9">
      <c r="A477" s="195">
        <f t="shared" si="40"/>
        <v>462</v>
      </c>
      <c r="B477" s="116" t="str">
        <f t="shared" si="39"/>
        <v>1CE</v>
      </c>
      <c r="C477" s="50"/>
      <c r="D477" s="111"/>
      <c r="E477" s="113"/>
      <c r="F477" s="114"/>
      <c r="G477" s="181"/>
      <c r="H477" s="183" t="str">
        <f t="shared" si="37"/>
        <v>FF</v>
      </c>
      <c r="I477" s="112"/>
    </row>
    <row r="478" spans="1:9">
      <c r="A478" s="195">
        <f t="shared" si="40"/>
        <v>463</v>
      </c>
      <c r="B478" s="116" t="str">
        <f t="shared" si="39"/>
        <v>1CF</v>
      </c>
      <c r="C478" s="50"/>
      <c r="D478" s="111"/>
      <c r="E478" s="113"/>
      <c r="F478" s="114"/>
      <c r="G478" s="181"/>
      <c r="H478" s="183" t="str">
        <f t="shared" si="37"/>
        <v>FF</v>
      </c>
      <c r="I478" s="112"/>
    </row>
    <row r="479" spans="1:9">
      <c r="A479" s="195">
        <f t="shared" si="40"/>
        <v>464</v>
      </c>
      <c r="B479" s="116" t="str">
        <f t="shared" si="39"/>
        <v>1D0</v>
      </c>
      <c r="C479" s="50"/>
      <c r="D479" s="111"/>
      <c r="E479" s="113"/>
      <c r="F479" s="114"/>
      <c r="G479" s="181"/>
      <c r="H479" s="183" t="str">
        <f t="shared" si="37"/>
        <v>FF</v>
      </c>
      <c r="I479" s="112"/>
    </row>
    <row r="480" spans="1:9">
      <c r="A480" s="195">
        <f t="shared" si="40"/>
        <v>465</v>
      </c>
      <c r="B480" s="116" t="str">
        <f t="shared" si="39"/>
        <v>1D1</v>
      </c>
      <c r="C480" s="50"/>
      <c r="D480" s="111"/>
      <c r="E480" s="113"/>
      <c r="F480" s="114"/>
      <c r="G480" s="181"/>
      <c r="H480" s="183" t="str">
        <f t="shared" si="37"/>
        <v>FF</v>
      </c>
      <c r="I480" s="112"/>
    </row>
    <row r="481" spans="1:9">
      <c r="A481" s="195">
        <f t="shared" si="40"/>
        <v>466</v>
      </c>
      <c r="B481" s="116" t="str">
        <f t="shared" si="39"/>
        <v>1D2</v>
      </c>
      <c r="C481" s="50"/>
      <c r="D481" s="111"/>
      <c r="E481" s="113"/>
      <c r="F481" s="114"/>
      <c r="G481" s="181"/>
      <c r="H481" s="183" t="str">
        <f t="shared" si="37"/>
        <v>FF</v>
      </c>
      <c r="I481" s="112"/>
    </row>
    <row r="482" spans="1:9">
      <c r="A482" s="195">
        <f t="shared" si="40"/>
        <v>467</v>
      </c>
      <c r="B482" s="116" t="str">
        <f t="shared" si="39"/>
        <v>1D3</v>
      </c>
      <c r="C482" s="50"/>
      <c r="D482" s="111"/>
      <c r="E482" s="113"/>
      <c r="F482" s="114"/>
      <c r="G482" s="181"/>
      <c r="H482" s="183" t="str">
        <f t="shared" si="37"/>
        <v>FF</v>
      </c>
      <c r="I482" s="112"/>
    </row>
    <row r="483" spans="1:9">
      <c r="A483" s="195">
        <f t="shared" si="40"/>
        <v>468</v>
      </c>
      <c r="B483" s="116" t="str">
        <f t="shared" si="39"/>
        <v>1D4</v>
      </c>
      <c r="C483" s="50"/>
      <c r="D483" s="111"/>
      <c r="E483" s="113"/>
      <c r="F483" s="114"/>
      <c r="G483" s="181"/>
      <c r="H483" s="183" t="str">
        <f t="shared" si="37"/>
        <v>FF</v>
      </c>
      <c r="I483" s="112"/>
    </row>
    <row r="484" spans="1:9">
      <c r="A484" s="195">
        <f t="shared" si="40"/>
        <v>469</v>
      </c>
      <c r="B484" s="116" t="str">
        <f t="shared" si="39"/>
        <v>1D5</v>
      </c>
      <c r="C484" s="50"/>
      <c r="D484" s="111"/>
      <c r="E484" s="113"/>
      <c r="F484" s="114"/>
      <c r="G484" s="181"/>
      <c r="H484" s="183" t="str">
        <f t="shared" si="37"/>
        <v>FF</v>
      </c>
      <c r="I484" s="112"/>
    </row>
    <row r="485" spans="1:9">
      <c r="A485" s="195">
        <f t="shared" si="40"/>
        <v>470</v>
      </c>
      <c r="B485" s="116" t="str">
        <f t="shared" si="39"/>
        <v>1D6</v>
      </c>
      <c r="C485" s="50"/>
      <c r="D485" s="111"/>
      <c r="E485" s="113"/>
      <c r="F485" s="114"/>
      <c r="G485" s="181"/>
      <c r="H485" s="183" t="str">
        <f t="shared" si="37"/>
        <v>FF</v>
      </c>
      <c r="I485" s="112"/>
    </row>
    <row r="486" spans="1:9">
      <c r="A486" s="195">
        <f t="shared" si="40"/>
        <v>471</v>
      </c>
      <c r="B486" s="116" t="str">
        <f t="shared" si="39"/>
        <v>1D7</v>
      </c>
      <c r="C486" s="50"/>
      <c r="D486" s="111"/>
      <c r="E486" s="113"/>
      <c r="F486" s="114"/>
      <c r="G486" s="181"/>
      <c r="H486" s="183" t="str">
        <f t="shared" si="37"/>
        <v>FF</v>
      </c>
      <c r="I486" s="112"/>
    </row>
    <row r="487" spans="1:9">
      <c r="A487" s="195">
        <f t="shared" si="40"/>
        <v>472</v>
      </c>
      <c r="B487" s="116" t="str">
        <f t="shared" si="39"/>
        <v>1D8</v>
      </c>
      <c r="C487" s="50"/>
      <c r="D487" s="111"/>
      <c r="E487" s="113"/>
      <c r="F487" s="114"/>
      <c r="G487" s="181"/>
      <c r="H487" s="183" t="str">
        <f t="shared" si="37"/>
        <v>FF</v>
      </c>
      <c r="I487" s="112"/>
    </row>
    <row r="488" spans="1:9">
      <c r="A488" s="195">
        <f t="shared" si="40"/>
        <v>473</v>
      </c>
      <c r="B488" s="116" t="str">
        <f t="shared" si="39"/>
        <v>1D9</v>
      </c>
      <c r="C488" s="50"/>
      <c r="D488" s="111"/>
      <c r="E488" s="113"/>
      <c r="F488" s="114"/>
      <c r="G488" s="181"/>
      <c r="H488" s="183" t="str">
        <f t="shared" si="37"/>
        <v>FF</v>
      </c>
      <c r="I488" s="112"/>
    </row>
    <row r="489" spans="1:9">
      <c r="A489" s="195">
        <f t="shared" si="40"/>
        <v>474</v>
      </c>
      <c r="B489" s="116" t="str">
        <f t="shared" si="39"/>
        <v>1DA</v>
      </c>
      <c r="C489" s="50"/>
      <c r="D489" s="111"/>
      <c r="E489" s="113"/>
      <c r="F489" s="114"/>
      <c r="G489" s="181"/>
      <c r="H489" s="183" t="str">
        <f t="shared" si="37"/>
        <v>FF</v>
      </c>
      <c r="I489" s="112"/>
    </row>
    <row r="490" spans="1:9">
      <c r="A490" s="195">
        <f t="shared" si="40"/>
        <v>475</v>
      </c>
      <c r="B490" s="116" t="str">
        <f t="shared" si="39"/>
        <v>1DB</v>
      </c>
      <c r="C490" s="50"/>
      <c r="D490" s="111"/>
      <c r="E490" s="113"/>
      <c r="F490" s="114"/>
      <c r="G490" s="181"/>
      <c r="H490" s="183" t="str">
        <f t="shared" si="37"/>
        <v>FF</v>
      </c>
      <c r="I490" s="112"/>
    </row>
    <row r="491" spans="1:9">
      <c r="A491" s="195">
        <f t="shared" si="40"/>
        <v>476</v>
      </c>
      <c r="B491" s="116" t="str">
        <f t="shared" si="39"/>
        <v>1DC</v>
      </c>
      <c r="C491" s="50"/>
      <c r="D491" s="111"/>
      <c r="E491" s="113"/>
      <c r="F491" s="114"/>
      <c r="G491" s="181"/>
      <c r="H491" s="183" t="str">
        <f t="shared" si="37"/>
        <v>FF</v>
      </c>
      <c r="I491" s="112"/>
    </row>
    <row r="492" spans="1:9">
      <c r="A492" s="195">
        <f t="shared" si="40"/>
        <v>477</v>
      </c>
      <c r="B492" s="116" t="str">
        <f t="shared" si="39"/>
        <v>1DD</v>
      </c>
      <c r="C492" s="50"/>
      <c r="D492" s="111"/>
      <c r="E492" s="113"/>
      <c r="F492" s="114"/>
      <c r="G492" s="181"/>
      <c r="H492" s="183" t="str">
        <f t="shared" si="37"/>
        <v>FF</v>
      </c>
      <c r="I492" s="112"/>
    </row>
    <row r="493" spans="1:9">
      <c r="A493" s="195">
        <f t="shared" si="40"/>
        <v>478</v>
      </c>
      <c r="B493" s="116" t="str">
        <f t="shared" si="39"/>
        <v>1DE</v>
      </c>
      <c r="C493" s="50"/>
      <c r="D493" s="111"/>
      <c r="E493" s="113"/>
      <c r="F493" s="114"/>
      <c r="G493" s="181"/>
      <c r="H493" s="183" t="str">
        <f t="shared" si="37"/>
        <v>FF</v>
      </c>
      <c r="I493" s="112"/>
    </row>
    <row r="494" spans="1:9">
      <c r="A494" s="195">
        <f t="shared" si="40"/>
        <v>479</v>
      </c>
      <c r="B494" s="116" t="str">
        <f t="shared" si="39"/>
        <v>1DF</v>
      </c>
      <c r="C494" s="50"/>
      <c r="D494" s="111"/>
      <c r="E494" s="113"/>
      <c r="F494" s="114"/>
      <c r="G494" s="181"/>
      <c r="H494" s="183" t="str">
        <f t="shared" si="37"/>
        <v>FF</v>
      </c>
      <c r="I494" s="112"/>
    </row>
    <row r="495" spans="1:9">
      <c r="A495" s="195">
        <f t="shared" si="40"/>
        <v>480</v>
      </c>
      <c r="B495" s="116" t="str">
        <f t="shared" si="39"/>
        <v>1E0</v>
      </c>
      <c r="C495" s="50"/>
      <c r="D495" s="111"/>
      <c r="E495" s="113"/>
      <c r="F495" s="114"/>
      <c r="G495" s="181"/>
      <c r="H495" s="183" t="str">
        <f t="shared" si="37"/>
        <v>FF</v>
      </c>
      <c r="I495" s="112"/>
    </row>
    <row r="496" spans="1:9">
      <c r="A496" s="195">
        <f t="shared" si="40"/>
        <v>481</v>
      </c>
      <c r="B496" s="116" t="str">
        <f t="shared" si="39"/>
        <v>1E1</v>
      </c>
      <c r="C496" s="50"/>
      <c r="D496" s="111"/>
      <c r="E496" s="113"/>
      <c r="F496" s="114"/>
      <c r="G496" s="181"/>
      <c r="H496" s="183" t="str">
        <f t="shared" si="37"/>
        <v>FF</v>
      </c>
      <c r="I496" s="112"/>
    </row>
    <row r="497" spans="1:9">
      <c r="A497" s="195">
        <f t="shared" si="40"/>
        <v>482</v>
      </c>
      <c r="B497" s="116" t="str">
        <f t="shared" si="39"/>
        <v>1E2</v>
      </c>
      <c r="C497" s="50"/>
      <c r="D497" s="111"/>
      <c r="E497" s="113"/>
      <c r="F497" s="114"/>
      <c r="G497" s="181"/>
      <c r="H497" s="183" t="str">
        <f t="shared" si="37"/>
        <v>FF</v>
      </c>
      <c r="I497" s="112"/>
    </row>
    <row r="498" spans="1:9">
      <c r="A498" s="195">
        <f t="shared" si="40"/>
        <v>483</v>
      </c>
      <c r="B498" s="116" t="str">
        <f t="shared" si="39"/>
        <v>1E3</v>
      </c>
      <c r="C498" s="50"/>
      <c r="D498" s="111"/>
      <c r="E498" s="113"/>
      <c r="F498" s="114"/>
      <c r="G498" s="181"/>
      <c r="H498" s="183" t="str">
        <f t="shared" si="37"/>
        <v>FF</v>
      </c>
      <c r="I498" s="112"/>
    </row>
    <row r="499" spans="1:9">
      <c r="A499" s="195">
        <f t="shared" si="40"/>
        <v>484</v>
      </c>
      <c r="B499" s="116" t="str">
        <f t="shared" si="39"/>
        <v>1E4</v>
      </c>
      <c r="C499" s="50"/>
      <c r="D499" s="111"/>
      <c r="E499" s="113"/>
      <c r="F499" s="114"/>
      <c r="G499" s="181"/>
      <c r="H499" s="183" t="str">
        <f t="shared" si="37"/>
        <v>FF</v>
      </c>
      <c r="I499" s="112"/>
    </row>
    <row r="500" spans="1:9">
      <c r="A500" s="195">
        <f t="shared" si="40"/>
        <v>485</v>
      </c>
      <c r="B500" s="116" t="str">
        <f t="shared" si="39"/>
        <v>1E5</v>
      </c>
      <c r="C500" s="50"/>
      <c r="D500" s="111"/>
      <c r="E500" s="113"/>
      <c r="F500" s="114"/>
      <c r="G500" s="181"/>
      <c r="H500" s="183" t="str">
        <f t="shared" si="37"/>
        <v>FF</v>
      </c>
      <c r="I500" s="112"/>
    </row>
    <row r="501" spans="1:9">
      <c r="A501" s="195">
        <f t="shared" si="40"/>
        <v>486</v>
      </c>
      <c r="B501" s="116" t="str">
        <f t="shared" si="39"/>
        <v>1E6</v>
      </c>
      <c r="C501" s="50"/>
      <c r="D501" s="111"/>
      <c r="E501" s="113"/>
      <c r="F501" s="114"/>
      <c r="G501" s="181"/>
      <c r="H501" s="183" t="str">
        <f t="shared" si="37"/>
        <v>FF</v>
      </c>
      <c r="I501" s="112"/>
    </row>
    <row r="502" spans="1:9">
      <c r="A502" s="195">
        <f t="shared" si="40"/>
        <v>487</v>
      </c>
      <c r="B502" s="116" t="str">
        <f t="shared" ref="B502:B565" si="41">DEC2HEX(A502,3)</f>
        <v>1E7</v>
      </c>
      <c r="C502" s="50"/>
      <c r="D502" s="111"/>
      <c r="E502" s="113"/>
      <c r="F502" s="114"/>
      <c r="G502" s="181"/>
      <c r="H502" s="183" t="str">
        <f t="shared" si="37"/>
        <v>FF</v>
      </c>
      <c r="I502" s="112"/>
    </row>
    <row r="503" spans="1:9">
      <c r="A503" s="195">
        <f t="shared" si="40"/>
        <v>488</v>
      </c>
      <c r="B503" s="116" t="str">
        <f t="shared" si="41"/>
        <v>1E8</v>
      </c>
      <c r="C503" s="50"/>
      <c r="D503" s="111"/>
      <c r="E503" s="113"/>
      <c r="F503" s="114"/>
      <c r="G503" s="181"/>
      <c r="H503" s="183" t="str">
        <f t="shared" si="37"/>
        <v>FF</v>
      </c>
      <c r="I503" s="112"/>
    </row>
    <row r="504" spans="1:9">
      <c r="A504" s="195">
        <f t="shared" si="40"/>
        <v>489</v>
      </c>
      <c r="B504" s="116" t="str">
        <f t="shared" si="41"/>
        <v>1E9</v>
      </c>
      <c r="C504" s="50"/>
      <c r="D504" s="111"/>
      <c r="E504" s="113"/>
      <c r="F504" s="114"/>
      <c r="G504" s="181"/>
      <c r="H504" s="183" t="str">
        <f t="shared" si="37"/>
        <v>FF</v>
      </c>
      <c r="I504" s="112"/>
    </row>
    <row r="505" spans="1:9">
      <c r="A505" s="195">
        <f t="shared" si="40"/>
        <v>490</v>
      </c>
      <c r="B505" s="116" t="str">
        <f t="shared" si="41"/>
        <v>1EA</v>
      </c>
      <c r="C505" s="50"/>
      <c r="D505" s="111"/>
      <c r="E505" s="113"/>
      <c r="F505" s="114"/>
      <c r="G505" s="181"/>
      <c r="H505" s="183" t="str">
        <f t="shared" si="37"/>
        <v>FF</v>
      </c>
      <c r="I505" s="112"/>
    </row>
    <row r="506" spans="1:9">
      <c r="A506" s="195">
        <f t="shared" si="40"/>
        <v>491</v>
      </c>
      <c r="B506" s="116" t="str">
        <f t="shared" si="41"/>
        <v>1EB</v>
      </c>
      <c r="C506" s="50"/>
      <c r="D506" s="111"/>
      <c r="E506" s="113"/>
      <c r="F506" s="114"/>
      <c r="G506" s="181"/>
      <c r="H506" s="183" t="str">
        <f t="shared" si="37"/>
        <v>FF</v>
      </c>
      <c r="I506" s="112"/>
    </row>
    <row r="507" spans="1:9">
      <c r="A507" s="195">
        <f t="shared" si="40"/>
        <v>492</v>
      </c>
      <c r="B507" s="116" t="str">
        <f t="shared" si="41"/>
        <v>1EC</v>
      </c>
      <c r="C507" s="50"/>
      <c r="D507" s="111"/>
      <c r="E507" s="113"/>
      <c r="F507" s="114"/>
      <c r="G507" s="181"/>
      <c r="H507" s="183" t="str">
        <f t="shared" si="37"/>
        <v>FF</v>
      </c>
      <c r="I507" s="112"/>
    </row>
    <row r="508" spans="1:9">
      <c r="A508" s="195">
        <f t="shared" si="40"/>
        <v>493</v>
      </c>
      <c r="B508" s="116" t="str">
        <f t="shared" si="41"/>
        <v>1ED</v>
      </c>
      <c r="C508" s="50"/>
      <c r="D508" s="111"/>
      <c r="E508" s="113"/>
      <c r="F508" s="114"/>
      <c r="G508" s="181"/>
      <c r="H508" s="183" t="str">
        <f t="shared" si="37"/>
        <v>FF</v>
      </c>
      <c r="I508" s="112"/>
    </row>
    <row r="509" spans="1:9">
      <c r="A509" s="195">
        <f t="shared" si="40"/>
        <v>494</v>
      </c>
      <c r="B509" s="116" t="str">
        <f t="shared" si="41"/>
        <v>1EE</v>
      </c>
      <c r="C509" s="50"/>
      <c r="D509" s="111"/>
      <c r="E509" s="113"/>
      <c r="F509" s="114"/>
      <c r="G509" s="181"/>
      <c r="H509" s="183" t="str">
        <f t="shared" si="37"/>
        <v>FF</v>
      </c>
      <c r="I509" s="112"/>
    </row>
    <row r="510" spans="1:9">
      <c r="A510" s="195">
        <f t="shared" si="40"/>
        <v>495</v>
      </c>
      <c r="B510" s="116" t="str">
        <f t="shared" si="41"/>
        <v>1EF</v>
      </c>
      <c r="C510" s="50"/>
      <c r="D510" s="111"/>
      <c r="E510" s="113"/>
      <c r="F510" s="114"/>
      <c r="G510" s="181"/>
      <c r="H510" s="183" t="str">
        <f t="shared" si="37"/>
        <v>FF</v>
      </c>
      <c r="I510" s="112"/>
    </row>
    <row r="511" spans="1:9">
      <c r="A511" s="195">
        <f t="shared" si="40"/>
        <v>496</v>
      </c>
      <c r="B511" s="116" t="str">
        <f t="shared" si="41"/>
        <v>1F0</v>
      </c>
      <c r="C511" s="50"/>
      <c r="D511" s="111"/>
      <c r="E511" s="113"/>
      <c r="F511" s="114"/>
      <c r="G511" s="181"/>
      <c r="H511" s="183" t="str">
        <f t="shared" si="37"/>
        <v>FF</v>
      </c>
      <c r="I511" s="112"/>
    </row>
    <row r="512" spans="1:9">
      <c r="A512" s="195">
        <f t="shared" si="40"/>
        <v>497</v>
      </c>
      <c r="B512" s="116" t="str">
        <f t="shared" si="41"/>
        <v>1F1</v>
      </c>
      <c r="C512" s="50"/>
      <c r="D512" s="111"/>
      <c r="E512" s="113"/>
      <c r="F512" s="114"/>
      <c r="G512" s="181"/>
      <c r="H512" s="183" t="str">
        <f t="shared" si="37"/>
        <v>FF</v>
      </c>
      <c r="I512" s="112"/>
    </row>
    <row r="513" spans="1:9">
      <c r="A513" s="195">
        <f t="shared" si="40"/>
        <v>498</v>
      </c>
      <c r="B513" s="116" t="str">
        <f t="shared" si="41"/>
        <v>1F2</v>
      </c>
      <c r="C513" s="50"/>
      <c r="D513" s="111"/>
      <c r="E513" s="113"/>
      <c r="F513" s="114"/>
      <c r="G513" s="181"/>
      <c r="H513" s="183" t="str">
        <f t="shared" si="37"/>
        <v>FF</v>
      </c>
      <c r="I513" s="112"/>
    </row>
    <row r="514" spans="1:9">
      <c r="A514" s="195">
        <f t="shared" si="40"/>
        <v>499</v>
      </c>
      <c r="B514" s="116" t="str">
        <f t="shared" si="41"/>
        <v>1F3</v>
      </c>
      <c r="C514" s="50"/>
      <c r="D514" s="111"/>
      <c r="E514" s="113"/>
      <c r="F514" s="114"/>
      <c r="G514" s="181"/>
      <c r="H514" s="183" t="str">
        <f t="shared" si="37"/>
        <v>FF</v>
      </c>
      <c r="I514" s="112"/>
    </row>
    <row r="515" spans="1:9">
      <c r="A515" s="195">
        <f t="shared" si="40"/>
        <v>500</v>
      </c>
      <c r="B515" s="116" t="str">
        <f t="shared" si="41"/>
        <v>1F4</v>
      </c>
      <c r="C515" s="50"/>
      <c r="D515" s="111"/>
      <c r="E515" s="113"/>
      <c r="F515" s="114"/>
      <c r="G515" s="181"/>
      <c r="H515" s="183" t="str">
        <f t="shared" si="37"/>
        <v>FF</v>
      </c>
      <c r="I515" s="112"/>
    </row>
    <row r="516" spans="1:9">
      <c r="A516" s="195">
        <f t="shared" si="40"/>
        <v>501</v>
      </c>
      <c r="B516" s="116" t="str">
        <f t="shared" si="41"/>
        <v>1F5</v>
      </c>
      <c r="C516" s="50"/>
      <c r="D516" s="111"/>
      <c r="E516" s="113"/>
      <c r="F516" s="114"/>
      <c r="G516" s="181"/>
      <c r="H516" s="183" t="str">
        <f t="shared" si="37"/>
        <v>FF</v>
      </c>
      <c r="I516" s="112"/>
    </row>
    <row r="517" spans="1:9">
      <c r="A517" s="195">
        <f t="shared" si="40"/>
        <v>502</v>
      </c>
      <c r="B517" s="116" t="str">
        <f t="shared" si="41"/>
        <v>1F6</v>
      </c>
      <c r="C517" s="50"/>
      <c r="D517" s="111"/>
      <c r="E517" s="113"/>
      <c r="F517" s="114"/>
      <c r="G517" s="181"/>
      <c r="H517" s="183" t="str">
        <f t="shared" si="37"/>
        <v>FF</v>
      </c>
      <c r="I517" s="112"/>
    </row>
    <row r="518" spans="1:9">
      <c r="A518" s="195">
        <f t="shared" si="40"/>
        <v>503</v>
      </c>
      <c r="B518" s="116" t="str">
        <f t="shared" si="41"/>
        <v>1F7</v>
      </c>
      <c r="C518" s="50"/>
      <c r="D518" s="111"/>
      <c r="E518" s="113"/>
      <c r="F518" s="114"/>
      <c r="G518" s="181"/>
      <c r="H518" s="183" t="str">
        <f t="shared" si="37"/>
        <v>FF</v>
      </c>
      <c r="I518" s="112"/>
    </row>
    <row r="519" spans="1:9">
      <c r="A519" s="195">
        <f t="shared" si="40"/>
        <v>504</v>
      </c>
      <c r="B519" s="116" t="str">
        <f t="shared" si="41"/>
        <v>1F8</v>
      </c>
      <c r="C519" s="50"/>
      <c r="D519" s="111"/>
      <c r="E519" s="113"/>
      <c r="F519" s="114"/>
      <c r="G519" s="181"/>
      <c r="H519" s="183" t="str">
        <f t="shared" si="37"/>
        <v>FF</v>
      </c>
      <c r="I519" s="112"/>
    </row>
    <row r="520" spans="1:9">
      <c r="A520" s="195">
        <f t="shared" si="40"/>
        <v>505</v>
      </c>
      <c r="B520" s="116" t="str">
        <f t="shared" si="41"/>
        <v>1F9</v>
      </c>
      <c r="C520" s="50"/>
      <c r="D520" s="111"/>
      <c r="E520" s="113"/>
      <c r="F520" s="114"/>
      <c r="G520" s="181"/>
      <c r="H520" s="183" t="str">
        <f t="shared" si="37"/>
        <v>FF</v>
      </c>
      <c r="I520" s="112"/>
    </row>
    <row r="521" spans="1:9">
      <c r="A521" s="195">
        <f t="shared" si="40"/>
        <v>506</v>
      </c>
      <c r="B521" s="116" t="str">
        <f t="shared" si="41"/>
        <v>1FA</v>
      </c>
      <c r="C521" s="50"/>
      <c r="D521" s="111"/>
      <c r="E521" s="113"/>
      <c r="F521" s="114"/>
      <c r="G521" s="181"/>
      <c r="H521" s="183" t="str">
        <f t="shared" si="37"/>
        <v>FF</v>
      </c>
      <c r="I521" s="112"/>
    </row>
    <row r="522" spans="1:9">
      <c r="A522" s="195">
        <f t="shared" si="40"/>
        <v>507</v>
      </c>
      <c r="B522" s="116" t="str">
        <f t="shared" si="41"/>
        <v>1FB</v>
      </c>
      <c r="C522" s="50"/>
      <c r="D522" s="111"/>
      <c r="E522" s="113"/>
      <c r="F522" s="114"/>
      <c r="G522" s="181"/>
      <c r="H522" s="183" t="str">
        <f t="shared" si="37"/>
        <v>FF</v>
      </c>
      <c r="I522" s="112"/>
    </row>
    <row r="523" spans="1:9">
      <c r="A523" s="195">
        <f t="shared" si="40"/>
        <v>508</v>
      </c>
      <c r="B523" s="116" t="str">
        <f t="shared" si="41"/>
        <v>1FC</v>
      </c>
      <c r="C523" s="50"/>
      <c r="D523" s="111"/>
      <c r="E523" s="113"/>
      <c r="F523" s="114"/>
      <c r="G523" s="181"/>
      <c r="H523" s="183" t="str">
        <f t="shared" si="37"/>
        <v>FF</v>
      </c>
      <c r="I523" s="112"/>
    </row>
    <row r="524" spans="1:9">
      <c r="A524" s="195">
        <f t="shared" si="40"/>
        <v>509</v>
      </c>
      <c r="B524" s="116" t="str">
        <f t="shared" si="41"/>
        <v>1FD</v>
      </c>
      <c r="C524" s="50"/>
      <c r="D524" s="111"/>
      <c r="E524" s="113"/>
      <c r="F524" s="114"/>
      <c r="G524" s="181"/>
      <c r="H524" s="183" t="str">
        <f t="shared" si="37"/>
        <v>FF</v>
      </c>
      <c r="I524" s="112"/>
    </row>
    <row r="525" spans="1:9">
      <c r="A525" s="195">
        <f t="shared" si="40"/>
        <v>510</v>
      </c>
      <c r="B525" s="116" t="str">
        <f t="shared" si="41"/>
        <v>1FE</v>
      </c>
      <c r="C525" s="50"/>
      <c r="D525" s="111"/>
      <c r="E525" s="113"/>
      <c r="F525" s="114"/>
      <c r="G525" s="181"/>
      <c r="H525" s="183" t="str">
        <f t="shared" si="37"/>
        <v>FF</v>
      </c>
      <c r="I525" s="112"/>
    </row>
    <row r="526" spans="1:9">
      <c r="A526" s="195">
        <f t="shared" si="40"/>
        <v>511</v>
      </c>
      <c r="B526" s="116" t="str">
        <f t="shared" si="41"/>
        <v>1FF</v>
      </c>
      <c r="C526" s="50"/>
      <c r="D526" s="111"/>
      <c r="E526" s="113"/>
      <c r="F526" s="114"/>
      <c r="G526" s="181"/>
      <c r="H526" s="183" t="str">
        <f t="shared" si="37"/>
        <v>FF</v>
      </c>
      <c r="I526" s="112"/>
    </row>
    <row r="527" spans="1:9">
      <c r="A527" s="195">
        <f t="shared" si="40"/>
        <v>512</v>
      </c>
      <c r="B527" s="116" t="str">
        <f t="shared" si="41"/>
        <v>200</v>
      </c>
      <c r="C527" s="50"/>
      <c r="D527" s="111"/>
      <c r="E527" s="113"/>
      <c r="F527" s="114"/>
      <c r="G527" s="181"/>
      <c r="H527" s="183" t="str">
        <f t="shared" si="37"/>
        <v>FF</v>
      </c>
      <c r="I527" s="112"/>
    </row>
    <row r="528" spans="1:9">
      <c r="A528" s="195">
        <f t="shared" si="40"/>
        <v>513</v>
      </c>
      <c r="B528" s="116" t="str">
        <f t="shared" si="41"/>
        <v>201</v>
      </c>
      <c r="C528" s="50"/>
      <c r="D528" s="111"/>
      <c r="E528" s="113"/>
      <c r="F528" s="114"/>
      <c r="G528" s="181"/>
      <c r="H528" s="183" t="str">
        <f t="shared" si="37"/>
        <v>FF</v>
      </c>
      <c r="I528" s="112"/>
    </row>
    <row r="529" spans="1:9">
      <c r="A529" s="195">
        <f t="shared" si="40"/>
        <v>514</v>
      </c>
      <c r="B529" s="116" t="str">
        <f t="shared" si="41"/>
        <v>202</v>
      </c>
      <c r="C529" s="50"/>
      <c r="D529" s="111"/>
      <c r="E529" s="113"/>
      <c r="F529" s="114"/>
      <c r="G529" s="181"/>
      <c r="H529" s="183" t="str">
        <f t="shared" si="37"/>
        <v>FF</v>
      </c>
      <c r="I529" s="112"/>
    </row>
    <row r="530" spans="1:9">
      <c r="A530" s="195">
        <f t="shared" si="40"/>
        <v>515</v>
      </c>
      <c r="B530" s="116" t="str">
        <f t="shared" si="41"/>
        <v>203</v>
      </c>
      <c r="C530" s="50"/>
      <c r="D530" s="111"/>
      <c r="E530" s="113"/>
      <c r="F530" s="114"/>
      <c r="G530" s="181"/>
      <c r="H530" s="183" t="str">
        <f t="shared" si="37"/>
        <v>FF</v>
      </c>
      <c r="I530" s="112"/>
    </row>
    <row r="531" spans="1:9">
      <c r="A531" s="195">
        <f t="shared" si="40"/>
        <v>516</v>
      </c>
      <c r="B531" s="116" t="str">
        <f t="shared" si="41"/>
        <v>204</v>
      </c>
      <c r="C531" s="50"/>
      <c r="D531" s="111"/>
      <c r="E531" s="113"/>
      <c r="F531" s="114"/>
      <c r="G531" s="181"/>
      <c r="H531" s="183" t="str">
        <f t="shared" si="37"/>
        <v>FF</v>
      </c>
      <c r="I531" s="112"/>
    </row>
    <row r="532" spans="1:9">
      <c r="A532" s="195">
        <f t="shared" si="40"/>
        <v>517</v>
      </c>
      <c r="B532" s="116" t="str">
        <f t="shared" si="41"/>
        <v>205</v>
      </c>
      <c r="C532" s="50"/>
      <c r="D532" s="111"/>
      <c r="E532" s="113"/>
      <c r="F532" s="114"/>
      <c r="G532" s="181"/>
      <c r="H532" s="183" t="str">
        <f t="shared" si="37"/>
        <v>FF</v>
      </c>
      <c r="I532" s="112"/>
    </row>
    <row r="533" spans="1:9">
      <c r="A533" s="195">
        <f t="shared" si="40"/>
        <v>518</v>
      </c>
      <c r="B533" s="116" t="str">
        <f t="shared" si="41"/>
        <v>206</v>
      </c>
      <c r="C533" s="50"/>
      <c r="D533" s="111"/>
      <c r="E533" s="113"/>
      <c r="F533" s="114"/>
      <c r="G533" s="181"/>
      <c r="H533" s="183" t="str">
        <f t="shared" si="37"/>
        <v>FF</v>
      </c>
      <c r="I533" s="112"/>
    </row>
    <row r="534" spans="1:9">
      <c r="A534" s="195">
        <f t="shared" si="40"/>
        <v>519</v>
      </c>
      <c r="B534" s="116" t="str">
        <f t="shared" si="41"/>
        <v>207</v>
      </c>
      <c r="C534" s="50"/>
      <c r="D534" s="111"/>
      <c r="E534" s="113"/>
      <c r="F534" s="114"/>
      <c r="G534" s="181"/>
      <c r="H534" s="183" t="str">
        <f t="shared" si="37"/>
        <v>FF</v>
      </c>
      <c r="I534" s="112"/>
    </row>
    <row r="535" spans="1:9">
      <c r="A535" s="195">
        <f t="shared" si="40"/>
        <v>520</v>
      </c>
      <c r="B535" s="116" t="str">
        <f t="shared" si="41"/>
        <v>208</v>
      </c>
      <c r="C535" s="50"/>
      <c r="D535" s="111"/>
      <c r="E535" s="113"/>
      <c r="F535" s="114"/>
      <c r="G535" s="181"/>
      <c r="H535" s="183" t="str">
        <f t="shared" si="37"/>
        <v>FF</v>
      </c>
      <c r="I535" s="112"/>
    </row>
    <row r="536" spans="1:9">
      <c r="A536" s="195">
        <f t="shared" si="40"/>
        <v>521</v>
      </c>
      <c r="B536" s="116" t="str">
        <f t="shared" si="41"/>
        <v>209</v>
      </c>
      <c r="C536" s="50"/>
      <c r="D536" s="111"/>
      <c r="E536" s="113"/>
      <c r="F536" s="114"/>
      <c r="G536" s="181"/>
      <c r="H536" s="183" t="str">
        <f t="shared" si="37"/>
        <v>FF</v>
      </c>
      <c r="I536" s="112"/>
    </row>
    <row r="537" spans="1:9">
      <c r="A537" s="195">
        <f t="shared" si="40"/>
        <v>522</v>
      </c>
      <c r="B537" s="116" t="str">
        <f t="shared" si="41"/>
        <v>20A</v>
      </c>
      <c r="C537" s="50"/>
      <c r="D537" s="111"/>
      <c r="E537" s="113"/>
      <c r="F537" s="114"/>
      <c r="G537" s="181"/>
      <c r="H537" s="183" t="str">
        <f t="shared" si="37"/>
        <v>FF</v>
      </c>
      <c r="I537" s="112"/>
    </row>
    <row r="538" spans="1:9">
      <c r="A538" s="195">
        <f t="shared" si="40"/>
        <v>523</v>
      </c>
      <c r="B538" s="116" t="str">
        <f t="shared" si="41"/>
        <v>20B</v>
      </c>
      <c r="C538" s="50"/>
      <c r="D538" s="111"/>
      <c r="E538" s="113"/>
      <c r="F538" s="114"/>
      <c r="G538" s="181"/>
      <c r="H538" s="183" t="str">
        <f t="shared" si="37"/>
        <v>FF</v>
      </c>
      <c r="I538" s="112"/>
    </row>
    <row r="539" spans="1:9">
      <c r="A539" s="195">
        <f t="shared" ref="A539:A602" si="42">A538+(ROW()-ROW(A538))</f>
        <v>524</v>
      </c>
      <c r="B539" s="116" t="str">
        <f t="shared" si="41"/>
        <v>20C</v>
      </c>
      <c r="C539" s="50"/>
      <c r="D539" s="111"/>
      <c r="E539" s="113"/>
      <c r="F539" s="114"/>
      <c r="G539" s="181"/>
      <c r="H539" s="183" t="str">
        <f t="shared" si="37"/>
        <v>FF</v>
      </c>
      <c r="I539" s="112"/>
    </row>
    <row r="540" spans="1:9">
      <c r="A540" s="195">
        <f t="shared" si="42"/>
        <v>525</v>
      </c>
      <c r="B540" s="116" t="str">
        <f t="shared" si="41"/>
        <v>20D</v>
      </c>
      <c r="C540" s="50"/>
      <c r="D540" s="111"/>
      <c r="E540" s="113"/>
      <c r="F540" s="114"/>
      <c r="G540" s="181"/>
      <c r="H540" s="183" t="str">
        <f t="shared" si="37"/>
        <v>FF</v>
      </c>
      <c r="I540" s="112"/>
    </row>
    <row r="541" spans="1:9">
      <c r="A541" s="195">
        <f t="shared" si="42"/>
        <v>526</v>
      </c>
      <c r="B541" s="116" t="str">
        <f t="shared" si="41"/>
        <v>20E</v>
      </c>
      <c r="C541" s="50"/>
      <c r="D541" s="111"/>
      <c r="E541" s="113"/>
      <c r="F541" s="114"/>
      <c r="G541" s="181"/>
      <c r="H541" s="183" t="str">
        <f t="shared" si="37"/>
        <v>FF</v>
      </c>
      <c r="I541" s="112"/>
    </row>
    <row r="542" spans="1:9">
      <c r="A542" s="195">
        <f t="shared" si="42"/>
        <v>527</v>
      </c>
      <c r="B542" s="116" t="str">
        <f t="shared" si="41"/>
        <v>20F</v>
      </c>
      <c r="C542" s="50"/>
      <c r="D542" s="111"/>
      <c r="E542" s="113"/>
      <c r="F542" s="114"/>
      <c r="G542" s="181"/>
      <c r="H542" s="183" t="str">
        <f t="shared" si="37"/>
        <v>FF</v>
      </c>
      <c r="I542" s="112"/>
    </row>
    <row r="543" spans="1:9">
      <c r="A543" s="195">
        <f t="shared" si="42"/>
        <v>528</v>
      </c>
      <c r="B543" s="116" t="str">
        <f t="shared" si="41"/>
        <v>210</v>
      </c>
      <c r="C543" s="50"/>
      <c r="D543" s="111"/>
      <c r="E543" s="113"/>
      <c r="F543" s="114"/>
      <c r="G543" s="181"/>
      <c r="H543" s="183" t="str">
        <f t="shared" si="37"/>
        <v>FF</v>
      </c>
      <c r="I543" s="112"/>
    </row>
    <row r="544" spans="1:9">
      <c r="A544" s="195">
        <f t="shared" si="42"/>
        <v>529</v>
      </c>
      <c r="B544" s="116" t="str">
        <f t="shared" si="41"/>
        <v>211</v>
      </c>
      <c r="C544" s="50"/>
      <c r="D544" s="111"/>
      <c r="E544" s="113"/>
      <c r="F544" s="114"/>
      <c r="G544" s="181"/>
      <c r="H544" s="183" t="str">
        <f t="shared" si="37"/>
        <v>FF</v>
      </c>
      <c r="I544" s="112"/>
    </row>
    <row r="545" spans="1:9">
      <c r="A545" s="195">
        <f t="shared" si="42"/>
        <v>530</v>
      </c>
      <c r="B545" s="116" t="str">
        <f t="shared" si="41"/>
        <v>212</v>
      </c>
      <c r="C545" s="50"/>
      <c r="D545" s="111"/>
      <c r="E545" s="113"/>
      <c r="F545" s="114"/>
      <c r="G545" s="181"/>
      <c r="H545" s="183" t="str">
        <f t="shared" si="37"/>
        <v>FF</v>
      </c>
      <c r="I545" s="112"/>
    </row>
    <row r="546" spans="1:9">
      <c r="A546" s="195">
        <f t="shared" si="42"/>
        <v>531</v>
      </c>
      <c r="B546" s="116" t="str">
        <f t="shared" si="41"/>
        <v>213</v>
      </c>
      <c r="C546" s="50"/>
      <c r="D546" s="111"/>
      <c r="E546" s="113"/>
      <c r="F546" s="114"/>
      <c r="G546" s="181"/>
      <c r="H546" s="183" t="str">
        <f t="shared" si="37"/>
        <v>FF</v>
      </c>
      <c r="I546" s="112"/>
    </row>
    <row r="547" spans="1:9">
      <c r="A547" s="195">
        <f t="shared" si="42"/>
        <v>532</v>
      </c>
      <c r="B547" s="116" t="str">
        <f t="shared" si="41"/>
        <v>214</v>
      </c>
      <c r="C547" s="50"/>
      <c r="D547" s="111"/>
      <c r="E547" s="113"/>
      <c r="F547" s="114"/>
      <c r="G547" s="181"/>
      <c r="H547" s="183" t="str">
        <f t="shared" si="37"/>
        <v>FF</v>
      </c>
      <c r="I547" s="112"/>
    </row>
    <row r="548" spans="1:9">
      <c r="A548" s="195">
        <f t="shared" si="42"/>
        <v>533</v>
      </c>
      <c r="B548" s="116" t="str">
        <f t="shared" si="41"/>
        <v>215</v>
      </c>
      <c r="C548" s="50"/>
      <c r="D548" s="111"/>
      <c r="E548" s="113"/>
      <c r="F548" s="114"/>
      <c r="G548" s="181"/>
      <c r="H548" s="183" t="str">
        <f t="shared" si="37"/>
        <v>FF</v>
      </c>
      <c r="I548" s="112"/>
    </row>
    <row r="549" spans="1:9">
      <c r="A549" s="195">
        <f t="shared" si="42"/>
        <v>534</v>
      </c>
      <c r="B549" s="116" t="str">
        <f t="shared" si="41"/>
        <v>216</v>
      </c>
      <c r="C549" s="50"/>
      <c r="D549" s="111"/>
      <c r="E549" s="113"/>
      <c r="F549" s="114"/>
      <c r="G549" s="181"/>
      <c r="H549" s="183" t="str">
        <f t="shared" si="37"/>
        <v>FF</v>
      </c>
      <c r="I549" s="112"/>
    </row>
    <row r="550" spans="1:9">
      <c r="A550" s="195">
        <f t="shared" si="42"/>
        <v>535</v>
      </c>
      <c r="B550" s="116" t="str">
        <f t="shared" si="41"/>
        <v>217</v>
      </c>
      <c r="C550" s="50"/>
      <c r="D550" s="111"/>
      <c r="E550" s="113"/>
      <c r="F550" s="114"/>
      <c r="G550" s="181"/>
      <c r="H550" s="183" t="str">
        <f t="shared" si="37"/>
        <v>FF</v>
      </c>
      <c r="I550" s="112"/>
    </row>
    <row r="551" spans="1:9">
      <c r="A551" s="195">
        <f t="shared" si="42"/>
        <v>536</v>
      </c>
      <c r="B551" s="116" t="str">
        <f t="shared" si="41"/>
        <v>218</v>
      </c>
      <c r="C551" s="50"/>
      <c r="D551" s="111"/>
      <c r="E551" s="113"/>
      <c r="F551" s="114"/>
      <c r="G551" s="181"/>
      <c r="H551" s="183" t="str">
        <f t="shared" si="37"/>
        <v>FF</v>
      </c>
      <c r="I551" s="112"/>
    </row>
    <row r="552" spans="1:9">
      <c r="A552" s="195">
        <f t="shared" si="42"/>
        <v>537</v>
      </c>
      <c r="B552" s="116" t="str">
        <f t="shared" si="41"/>
        <v>219</v>
      </c>
      <c r="C552" s="50"/>
      <c r="D552" s="111"/>
      <c r="E552" s="113"/>
      <c r="F552" s="114"/>
      <c r="G552" s="181"/>
      <c r="H552" s="183" t="str">
        <f t="shared" si="37"/>
        <v>FF</v>
      </c>
      <c r="I552" s="112"/>
    </row>
    <row r="553" spans="1:9">
      <c r="A553" s="195">
        <f t="shared" si="42"/>
        <v>538</v>
      </c>
      <c r="B553" s="116" t="str">
        <f t="shared" si="41"/>
        <v>21A</v>
      </c>
      <c r="C553" s="50"/>
      <c r="D553" s="111"/>
      <c r="E553" s="113"/>
      <c r="F553" s="114"/>
      <c r="G553" s="181"/>
      <c r="H553" s="183" t="str">
        <f t="shared" si="37"/>
        <v>FF</v>
      </c>
      <c r="I553" s="112"/>
    </row>
    <row r="554" spans="1:9">
      <c r="A554" s="195">
        <f t="shared" si="42"/>
        <v>539</v>
      </c>
      <c r="B554" s="116" t="str">
        <f t="shared" si="41"/>
        <v>21B</v>
      </c>
      <c r="C554" s="50"/>
      <c r="D554" s="111"/>
      <c r="E554" s="113"/>
      <c r="F554" s="114"/>
      <c r="G554" s="181"/>
      <c r="H554" s="183" t="str">
        <f t="shared" si="37"/>
        <v>FF</v>
      </c>
      <c r="I554" s="112"/>
    </row>
    <row r="555" spans="1:9">
      <c r="A555" s="195">
        <f t="shared" si="42"/>
        <v>540</v>
      </c>
      <c r="B555" s="116" t="str">
        <f t="shared" si="41"/>
        <v>21C</v>
      </c>
      <c r="C555" s="50"/>
      <c r="D555" s="111"/>
      <c r="E555" s="113"/>
      <c r="F555" s="114"/>
      <c r="G555" s="181"/>
      <c r="H555" s="183" t="str">
        <f t="shared" si="37"/>
        <v>FF</v>
      </c>
      <c r="I555" s="112"/>
    </row>
    <row r="556" spans="1:9">
      <c r="A556" s="195">
        <f t="shared" si="42"/>
        <v>541</v>
      </c>
      <c r="B556" s="116" t="str">
        <f t="shared" si="41"/>
        <v>21D</v>
      </c>
      <c r="C556" s="50"/>
      <c r="D556" s="111"/>
      <c r="E556" s="113"/>
      <c r="F556" s="114"/>
      <c r="G556" s="181"/>
      <c r="H556" s="183" t="str">
        <f t="shared" si="37"/>
        <v>FF</v>
      </c>
      <c r="I556" s="112"/>
    </row>
    <row r="557" spans="1:9">
      <c r="A557" s="195">
        <f t="shared" si="42"/>
        <v>542</v>
      </c>
      <c r="B557" s="116" t="str">
        <f t="shared" si="41"/>
        <v>21E</v>
      </c>
      <c r="C557" s="50"/>
      <c r="D557" s="111"/>
      <c r="E557" s="113"/>
      <c r="F557" s="114"/>
      <c r="G557" s="181"/>
      <c r="H557" s="183" t="str">
        <f t="shared" si="37"/>
        <v>FF</v>
      </c>
      <c r="I557" s="112"/>
    </row>
    <row r="558" spans="1:9">
      <c r="A558" s="195">
        <f t="shared" si="42"/>
        <v>543</v>
      </c>
      <c r="B558" s="116" t="str">
        <f t="shared" si="41"/>
        <v>21F</v>
      </c>
      <c r="C558" s="50"/>
      <c r="D558" s="111"/>
      <c r="E558" s="113"/>
      <c r="F558" s="114"/>
      <c r="G558" s="181"/>
      <c r="H558" s="183" t="str">
        <f t="shared" si="37"/>
        <v>FF</v>
      </c>
      <c r="I558" s="112"/>
    </row>
    <row r="559" spans="1:9">
      <c r="A559" s="195">
        <f t="shared" si="42"/>
        <v>544</v>
      </c>
      <c r="B559" s="116" t="str">
        <f t="shared" si="41"/>
        <v>220</v>
      </c>
      <c r="C559" s="50"/>
      <c r="D559" s="111"/>
      <c r="E559" s="113"/>
      <c r="F559" s="114"/>
      <c r="G559" s="181"/>
      <c r="H559" s="183" t="str">
        <f t="shared" si="37"/>
        <v>FF</v>
      </c>
      <c r="I559" s="112"/>
    </row>
    <row r="560" spans="1:9">
      <c r="A560" s="195">
        <f t="shared" si="42"/>
        <v>545</v>
      </c>
      <c r="B560" s="116" t="str">
        <f t="shared" si="41"/>
        <v>221</v>
      </c>
      <c r="C560" s="50"/>
      <c r="D560" s="111"/>
      <c r="E560" s="113"/>
      <c r="F560" s="114"/>
      <c r="G560" s="181"/>
      <c r="H560" s="183" t="str">
        <f t="shared" si="37"/>
        <v>FF</v>
      </c>
      <c r="I560" s="112"/>
    </row>
    <row r="561" spans="1:9">
      <c r="A561" s="195">
        <f t="shared" si="42"/>
        <v>546</v>
      </c>
      <c r="B561" s="116" t="str">
        <f t="shared" si="41"/>
        <v>222</v>
      </c>
      <c r="C561" s="50"/>
      <c r="D561" s="111"/>
      <c r="E561" s="113"/>
      <c r="F561" s="114"/>
      <c r="G561" s="181"/>
      <c r="H561" s="183" t="str">
        <f t="shared" si="37"/>
        <v>FF</v>
      </c>
      <c r="I561" s="112"/>
    </row>
    <row r="562" spans="1:9">
      <c r="A562" s="195">
        <f t="shared" si="42"/>
        <v>547</v>
      </c>
      <c r="B562" s="116" t="str">
        <f t="shared" si="41"/>
        <v>223</v>
      </c>
      <c r="C562" s="50"/>
      <c r="D562" s="111"/>
      <c r="E562" s="113"/>
      <c r="F562" s="114"/>
      <c r="G562" s="181"/>
      <c r="H562" s="183" t="str">
        <f t="shared" si="37"/>
        <v>FF</v>
      </c>
      <c r="I562" s="112"/>
    </row>
    <row r="563" spans="1:9">
      <c r="A563" s="195">
        <f t="shared" si="42"/>
        <v>548</v>
      </c>
      <c r="B563" s="116" t="str">
        <f t="shared" si="41"/>
        <v>224</v>
      </c>
      <c r="C563" s="50"/>
      <c r="D563" s="111"/>
      <c r="E563" s="113"/>
      <c r="F563" s="114"/>
      <c r="G563" s="181"/>
      <c r="H563" s="183" t="str">
        <f t="shared" si="37"/>
        <v>FF</v>
      </c>
      <c r="I563" s="112"/>
    </row>
    <row r="564" spans="1:9">
      <c r="A564" s="195">
        <f t="shared" si="42"/>
        <v>549</v>
      </c>
      <c r="B564" s="116" t="str">
        <f t="shared" si="41"/>
        <v>225</v>
      </c>
      <c r="C564" s="50"/>
      <c r="D564" s="111"/>
      <c r="E564" s="113"/>
      <c r="F564" s="114"/>
      <c r="G564" s="181"/>
      <c r="H564" s="183" t="str">
        <f t="shared" si="37"/>
        <v>FF</v>
      </c>
      <c r="I564" s="112"/>
    </row>
    <row r="565" spans="1:9">
      <c r="A565" s="195">
        <f t="shared" si="42"/>
        <v>550</v>
      </c>
      <c r="B565" s="116" t="str">
        <f t="shared" si="41"/>
        <v>226</v>
      </c>
      <c r="C565" s="50"/>
      <c r="D565" s="111"/>
      <c r="E565" s="113"/>
      <c r="F565" s="114"/>
      <c r="G565" s="181"/>
      <c r="H565" s="183" t="str">
        <f t="shared" si="37"/>
        <v>FF</v>
      </c>
      <c r="I565" s="112"/>
    </row>
    <row r="566" spans="1:9">
      <c r="A566" s="195">
        <f t="shared" si="42"/>
        <v>551</v>
      </c>
      <c r="B566" s="116" t="str">
        <f t="shared" ref="B566:B629" si="43">DEC2HEX(A566,3)</f>
        <v>227</v>
      </c>
      <c r="C566" s="50"/>
      <c r="D566" s="111"/>
      <c r="E566" s="113"/>
      <c r="F566" s="114"/>
      <c r="G566" s="181"/>
      <c r="H566" s="183" t="str">
        <f t="shared" si="37"/>
        <v>FF</v>
      </c>
      <c r="I566" s="112"/>
    </row>
    <row r="567" spans="1:9">
      <c r="A567" s="195">
        <f t="shared" si="42"/>
        <v>552</v>
      </c>
      <c r="B567" s="116" t="str">
        <f t="shared" si="43"/>
        <v>228</v>
      </c>
      <c r="C567" s="50"/>
      <c r="D567" s="111"/>
      <c r="E567" s="113"/>
      <c r="F567" s="114"/>
      <c r="G567" s="181"/>
      <c r="H567" s="183" t="str">
        <f t="shared" si="37"/>
        <v>FF</v>
      </c>
      <c r="I567" s="112"/>
    </row>
    <row r="568" spans="1:9">
      <c r="A568" s="195">
        <f t="shared" si="42"/>
        <v>553</v>
      </c>
      <c r="B568" s="116" t="str">
        <f t="shared" si="43"/>
        <v>229</v>
      </c>
      <c r="C568" s="50"/>
      <c r="D568" s="111"/>
      <c r="E568" s="113"/>
      <c r="F568" s="114"/>
      <c r="G568" s="181"/>
      <c r="H568" s="183" t="str">
        <f t="shared" si="37"/>
        <v>FF</v>
      </c>
      <c r="I568" s="112"/>
    </row>
    <row r="569" spans="1:9">
      <c r="A569" s="195">
        <f t="shared" si="42"/>
        <v>554</v>
      </c>
      <c r="B569" s="116" t="str">
        <f t="shared" si="43"/>
        <v>22A</v>
      </c>
      <c r="C569" s="50"/>
      <c r="D569" s="111"/>
      <c r="E569" s="113"/>
      <c r="F569" s="114"/>
      <c r="G569" s="181"/>
      <c r="H569" s="183" t="str">
        <f t="shared" si="37"/>
        <v>FF</v>
      </c>
      <c r="I569" s="112"/>
    </row>
    <row r="570" spans="1:9">
      <c r="A570" s="195">
        <f t="shared" si="42"/>
        <v>555</v>
      </c>
      <c r="B570" s="116" t="str">
        <f t="shared" si="43"/>
        <v>22B</v>
      </c>
      <c r="C570" s="50"/>
      <c r="D570" s="111"/>
      <c r="E570" s="113"/>
      <c r="F570" s="114"/>
      <c r="G570" s="181"/>
      <c r="H570" s="183" t="str">
        <f t="shared" si="37"/>
        <v>FF</v>
      </c>
      <c r="I570" s="112"/>
    </row>
    <row r="571" spans="1:9">
      <c r="A571" s="195">
        <f t="shared" si="42"/>
        <v>556</v>
      </c>
      <c r="B571" s="116" t="str">
        <f t="shared" si="43"/>
        <v>22C</v>
      </c>
      <c r="C571" s="50"/>
      <c r="D571" s="111"/>
      <c r="E571" s="113"/>
      <c r="F571" s="114"/>
      <c r="G571" s="181"/>
      <c r="H571" s="183" t="str">
        <f t="shared" si="37"/>
        <v>FF</v>
      </c>
      <c r="I571" s="112"/>
    </row>
    <row r="572" spans="1:9">
      <c r="A572" s="195">
        <f t="shared" si="42"/>
        <v>557</v>
      </c>
      <c r="B572" s="116" t="str">
        <f t="shared" si="43"/>
        <v>22D</v>
      </c>
      <c r="C572" s="50"/>
      <c r="D572" s="111"/>
      <c r="E572" s="113"/>
      <c r="F572" s="114"/>
      <c r="G572" s="181"/>
      <c r="H572" s="183" t="str">
        <f t="shared" si="37"/>
        <v>FF</v>
      </c>
      <c r="I572" s="112"/>
    </row>
    <row r="573" spans="1:9">
      <c r="A573" s="195">
        <f t="shared" si="42"/>
        <v>558</v>
      </c>
      <c r="B573" s="116" t="str">
        <f t="shared" si="43"/>
        <v>22E</v>
      </c>
      <c r="C573" s="50"/>
      <c r="D573" s="111"/>
      <c r="E573" s="113"/>
      <c r="F573" s="114"/>
      <c r="G573" s="181"/>
      <c r="H573" s="183" t="str">
        <f t="shared" si="37"/>
        <v>FF</v>
      </c>
      <c r="I573" s="112"/>
    </row>
    <row r="574" spans="1:9">
      <c r="A574" s="195">
        <f t="shared" si="42"/>
        <v>559</v>
      </c>
      <c r="B574" s="116" t="str">
        <f t="shared" si="43"/>
        <v>22F</v>
      </c>
      <c r="C574" s="50"/>
      <c r="D574" s="111"/>
      <c r="E574" s="113"/>
      <c r="F574" s="114"/>
      <c r="G574" s="181"/>
      <c r="H574" s="183" t="str">
        <f t="shared" si="37"/>
        <v>FF</v>
      </c>
      <c r="I574" s="112"/>
    </row>
    <row r="575" spans="1:9">
      <c r="A575" s="195">
        <f t="shared" si="42"/>
        <v>560</v>
      </c>
      <c r="B575" s="116" t="str">
        <f t="shared" si="43"/>
        <v>230</v>
      </c>
      <c r="C575" s="50"/>
      <c r="D575" s="111"/>
      <c r="E575" s="113"/>
      <c r="F575" s="114"/>
      <c r="G575" s="181"/>
      <c r="H575" s="183" t="str">
        <f t="shared" si="37"/>
        <v>FF</v>
      </c>
      <c r="I575" s="112"/>
    </row>
    <row r="576" spans="1:9">
      <c r="A576" s="195">
        <f t="shared" si="42"/>
        <v>561</v>
      </c>
      <c r="B576" s="116" t="str">
        <f t="shared" si="43"/>
        <v>231</v>
      </c>
      <c r="C576" s="50"/>
      <c r="D576" s="111"/>
      <c r="E576" s="113"/>
      <c r="F576" s="114"/>
      <c r="G576" s="181"/>
      <c r="H576" s="183" t="str">
        <f t="shared" si="37"/>
        <v>FF</v>
      </c>
      <c r="I576" s="112"/>
    </row>
    <row r="577" spans="1:9">
      <c r="A577" s="195">
        <f t="shared" si="42"/>
        <v>562</v>
      </c>
      <c r="B577" s="116" t="str">
        <f t="shared" si="43"/>
        <v>232</v>
      </c>
      <c r="C577" s="50"/>
      <c r="D577" s="111"/>
      <c r="E577" s="113"/>
      <c r="F577" s="114"/>
      <c r="G577" s="181"/>
      <c r="H577" s="183" t="str">
        <f t="shared" si="37"/>
        <v>FF</v>
      </c>
      <c r="I577" s="112"/>
    </row>
    <row r="578" spans="1:9">
      <c r="A578" s="195">
        <f t="shared" si="42"/>
        <v>563</v>
      </c>
      <c r="B578" s="116" t="str">
        <f t="shared" si="43"/>
        <v>233</v>
      </c>
      <c r="C578" s="50"/>
      <c r="D578" s="111"/>
      <c r="E578" s="113"/>
      <c r="F578" s="114"/>
      <c r="G578" s="181"/>
      <c r="H578" s="183" t="str">
        <f t="shared" si="37"/>
        <v>FF</v>
      </c>
      <c r="I578" s="112"/>
    </row>
    <row r="579" spans="1:9">
      <c r="A579" s="195">
        <f t="shared" si="42"/>
        <v>564</v>
      </c>
      <c r="B579" s="116" t="str">
        <f t="shared" si="43"/>
        <v>234</v>
      </c>
      <c r="C579" s="50"/>
      <c r="D579" s="111"/>
      <c r="E579" s="113"/>
      <c r="F579" s="114"/>
      <c r="G579" s="181"/>
      <c r="H579" s="183" t="str">
        <f t="shared" si="37"/>
        <v>FF</v>
      </c>
      <c r="I579" s="112"/>
    </row>
    <row r="580" spans="1:9">
      <c r="A580" s="195">
        <f t="shared" si="42"/>
        <v>565</v>
      </c>
      <c r="B580" s="116" t="str">
        <f t="shared" si="43"/>
        <v>235</v>
      </c>
      <c r="C580" s="50"/>
      <c r="D580" s="111"/>
      <c r="E580" s="113"/>
      <c r="F580" s="114"/>
      <c r="G580" s="181"/>
      <c r="H580" s="183" t="str">
        <f t="shared" si="37"/>
        <v>FF</v>
      </c>
      <c r="I580" s="112"/>
    </row>
    <row r="581" spans="1:9">
      <c r="A581" s="195">
        <f t="shared" si="42"/>
        <v>566</v>
      </c>
      <c r="B581" s="116" t="str">
        <f t="shared" si="43"/>
        <v>236</v>
      </c>
      <c r="C581" s="50"/>
      <c r="D581" s="111"/>
      <c r="E581" s="113"/>
      <c r="F581" s="114"/>
      <c r="G581" s="181"/>
      <c r="H581" s="183" t="str">
        <f t="shared" si="37"/>
        <v>FF</v>
      </c>
      <c r="I581" s="112"/>
    </row>
    <row r="582" spans="1:9">
      <c r="A582" s="195">
        <f t="shared" si="42"/>
        <v>567</v>
      </c>
      <c r="B582" s="116" t="str">
        <f t="shared" si="43"/>
        <v>237</v>
      </c>
      <c r="C582" s="50"/>
      <c r="D582" s="111"/>
      <c r="E582" s="113"/>
      <c r="F582" s="114"/>
      <c r="G582" s="181"/>
      <c r="H582" s="183" t="str">
        <f t="shared" si="37"/>
        <v>FF</v>
      </c>
      <c r="I582" s="112"/>
    </row>
    <row r="583" spans="1:9">
      <c r="A583" s="195">
        <f t="shared" si="42"/>
        <v>568</v>
      </c>
      <c r="B583" s="116" t="str">
        <f t="shared" si="43"/>
        <v>238</v>
      </c>
      <c r="C583" s="50"/>
      <c r="D583" s="111"/>
      <c r="E583" s="113"/>
      <c r="F583" s="114"/>
      <c r="G583" s="181"/>
      <c r="H583" s="183" t="str">
        <f t="shared" si="37"/>
        <v>FF</v>
      </c>
      <c r="I583" s="112"/>
    </row>
    <row r="584" spans="1:9">
      <c r="A584" s="195">
        <f t="shared" si="42"/>
        <v>569</v>
      </c>
      <c r="B584" s="116" t="str">
        <f t="shared" si="43"/>
        <v>239</v>
      </c>
      <c r="C584" s="50"/>
      <c r="D584" s="111"/>
      <c r="E584" s="113"/>
      <c r="F584" s="114"/>
      <c r="G584" s="181"/>
      <c r="H584" s="183" t="str">
        <f t="shared" ref="H584:H647" si="44">Fill</f>
        <v>FF</v>
      </c>
      <c r="I584" s="112"/>
    </row>
    <row r="585" spans="1:9">
      <c r="A585" s="195">
        <f t="shared" si="42"/>
        <v>570</v>
      </c>
      <c r="B585" s="116" t="str">
        <f t="shared" si="43"/>
        <v>23A</v>
      </c>
      <c r="C585" s="50"/>
      <c r="D585" s="111"/>
      <c r="E585" s="113"/>
      <c r="F585" s="114"/>
      <c r="G585" s="181"/>
      <c r="H585" s="183" t="str">
        <f t="shared" si="44"/>
        <v>FF</v>
      </c>
      <c r="I585" s="112"/>
    </row>
    <row r="586" spans="1:9">
      <c r="A586" s="195">
        <f t="shared" si="42"/>
        <v>571</v>
      </c>
      <c r="B586" s="116" t="str">
        <f t="shared" si="43"/>
        <v>23B</v>
      </c>
      <c r="C586" s="50"/>
      <c r="D586" s="111"/>
      <c r="E586" s="113"/>
      <c r="F586" s="114"/>
      <c r="G586" s="181"/>
      <c r="H586" s="183" t="str">
        <f t="shared" si="44"/>
        <v>FF</v>
      </c>
      <c r="I586" s="112"/>
    </row>
    <row r="587" spans="1:9">
      <c r="A587" s="195">
        <f t="shared" si="42"/>
        <v>572</v>
      </c>
      <c r="B587" s="116" t="str">
        <f t="shared" si="43"/>
        <v>23C</v>
      </c>
      <c r="C587" s="50"/>
      <c r="D587" s="111"/>
      <c r="E587" s="113"/>
      <c r="F587" s="114"/>
      <c r="G587" s="181"/>
      <c r="H587" s="183" t="str">
        <f t="shared" si="44"/>
        <v>FF</v>
      </c>
      <c r="I587" s="112"/>
    </row>
    <row r="588" spans="1:9">
      <c r="A588" s="195">
        <f t="shared" si="42"/>
        <v>573</v>
      </c>
      <c r="B588" s="116" t="str">
        <f t="shared" si="43"/>
        <v>23D</v>
      </c>
      <c r="C588" s="50"/>
      <c r="D588" s="111"/>
      <c r="E588" s="113"/>
      <c r="F588" s="114"/>
      <c r="G588" s="181"/>
      <c r="H588" s="183" t="str">
        <f t="shared" si="44"/>
        <v>FF</v>
      </c>
      <c r="I588" s="112"/>
    </row>
    <row r="589" spans="1:9">
      <c r="A589" s="195">
        <f t="shared" si="42"/>
        <v>574</v>
      </c>
      <c r="B589" s="116" t="str">
        <f t="shared" si="43"/>
        <v>23E</v>
      </c>
      <c r="C589" s="50"/>
      <c r="D589" s="111"/>
      <c r="E589" s="113"/>
      <c r="F589" s="114"/>
      <c r="G589" s="181"/>
      <c r="H589" s="183" t="str">
        <f t="shared" si="44"/>
        <v>FF</v>
      </c>
      <c r="I589" s="112"/>
    </row>
    <row r="590" spans="1:9">
      <c r="A590" s="195">
        <f t="shared" si="42"/>
        <v>575</v>
      </c>
      <c r="B590" s="116" t="str">
        <f t="shared" si="43"/>
        <v>23F</v>
      </c>
      <c r="C590" s="50"/>
      <c r="D590" s="111"/>
      <c r="E590" s="113"/>
      <c r="F590" s="114"/>
      <c r="G590" s="181"/>
      <c r="H590" s="183" t="str">
        <f t="shared" si="44"/>
        <v>FF</v>
      </c>
      <c r="I590" s="112"/>
    </row>
    <row r="591" spans="1:9">
      <c r="A591" s="195">
        <f t="shared" si="42"/>
        <v>576</v>
      </c>
      <c r="B591" s="116" t="str">
        <f t="shared" si="43"/>
        <v>240</v>
      </c>
      <c r="C591" s="50"/>
      <c r="D591" s="111"/>
      <c r="E591" s="113"/>
      <c r="F591" s="114"/>
      <c r="G591" s="181"/>
      <c r="H591" s="183" t="str">
        <f t="shared" si="44"/>
        <v>FF</v>
      </c>
      <c r="I591" s="112"/>
    </row>
    <row r="592" spans="1:9">
      <c r="A592" s="195">
        <f t="shared" si="42"/>
        <v>577</v>
      </c>
      <c r="B592" s="116" t="str">
        <f t="shared" si="43"/>
        <v>241</v>
      </c>
      <c r="C592" s="50"/>
      <c r="D592" s="111"/>
      <c r="E592" s="113"/>
      <c r="F592" s="114"/>
      <c r="G592" s="181"/>
      <c r="H592" s="183" t="str">
        <f t="shared" si="44"/>
        <v>FF</v>
      </c>
      <c r="I592" s="112"/>
    </row>
    <row r="593" spans="1:9">
      <c r="A593" s="195">
        <f t="shared" si="42"/>
        <v>578</v>
      </c>
      <c r="B593" s="116" t="str">
        <f t="shared" si="43"/>
        <v>242</v>
      </c>
      <c r="C593" s="50"/>
      <c r="D593" s="111"/>
      <c r="E593" s="113"/>
      <c r="F593" s="114"/>
      <c r="G593" s="181"/>
      <c r="H593" s="183" t="str">
        <f t="shared" si="44"/>
        <v>FF</v>
      </c>
      <c r="I593" s="112"/>
    </row>
    <row r="594" spans="1:9">
      <c r="A594" s="195">
        <f t="shared" si="42"/>
        <v>579</v>
      </c>
      <c r="B594" s="116" t="str">
        <f t="shared" si="43"/>
        <v>243</v>
      </c>
      <c r="C594" s="50"/>
      <c r="D594" s="111"/>
      <c r="E594" s="113"/>
      <c r="F594" s="114"/>
      <c r="G594" s="181"/>
      <c r="H594" s="183" t="str">
        <f t="shared" si="44"/>
        <v>FF</v>
      </c>
      <c r="I594" s="112"/>
    </row>
    <row r="595" spans="1:9">
      <c r="A595" s="195">
        <f t="shared" si="42"/>
        <v>580</v>
      </c>
      <c r="B595" s="116" t="str">
        <f t="shared" si="43"/>
        <v>244</v>
      </c>
      <c r="C595" s="50"/>
      <c r="D595" s="111"/>
      <c r="E595" s="113"/>
      <c r="F595" s="114"/>
      <c r="G595" s="181"/>
      <c r="H595" s="183" t="str">
        <f t="shared" si="44"/>
        <v>FF</v>
      </c>
      <c r="I595" s="112"/>
    </row>
    <row r="596" spans="1:9">
      <c r="A596" s="195">
        <f t="shared" si="42"/>
        <v>581</v>
      </c>
      <c r="B596" s="116" t="str">
        <f t="shared" si="43"/>
        <v>245</v>
      </c>
      <c r="C596" s="50"/>
      <c r="D596" s="111"/>
      <c r="E596" s="113"/>
      <c r="F596" s="114"/>
      <c r="G596" s="181"/>
      <c r="H596" s="183" t="str">
        <f t="shared" si="44"/>
        <v>FF</v>
      </c>
      <c r="I596" s="112"/>
    </row>
    <row r="597" spans="1:9">
      <c r="A597" s="195">
        <f t="shared" si="42"/>
        <v>582</v>
      </c>
      <c r="B597" s="116" t="str">
        <f t="shared" si="43"/>
        <v>246</v>
      </c>
      <c r="C597" s="50"/>
      <c r="D597" s="111"/>
      <c r="E597" s="113"/>
      <c r="F597" s="114"/>
      <c r="G597" s="181"/>
      <c r="H597" s="183" t="str">
        <f t="shared" si="44"/>
        <v>FF</v>
      </c>
      <c r="I597" s="112"/>
    </row>
    <row r="598" spans="1:9">
      <c r="A598" s="195">
        <f t="shared" si="42"/>
        <v>583</v>
      </c>
      <c r="B598" s="116" t="str">
        <f t="shared" si="43"/>
        <v>247</v>
      </c>
      <c r="C598" s="50"/>
      <c r="D598" s="111"/>
      <c r="E598" s="113"/>
      <c r="F598" s="114"/>
      <c r="G598" s="181"/>
      <c r="H598" s="183" t="str">
        <f t="shared" si="44"/>
        <v>FF</v>
      </c>
      <c r="I598" s="112"/>
    </row>
    <row r="599" spans="1:9">
      <c r="A599" s="195">
        <f t="shared" si="42"/>
        <v>584</v>
      </c>
      <c r="B599" s="116" t="str">
        <f t="shared" si="43"/>
        <v>248</v>
      </c>
      <c r="C599" s="50"/>
      <c r="D599" s="111"/>
      <c r="E599" s="113"/>
      <c r="F599" s="114"/>
      <c r="G599" s="181"/>
      <c r="H599" s="183" t="str">
        <f t="shared" si="44"/>
        <v>FF</v>
      </c>
      <c r="I599" s="112"/>
    </row>
    <row r="600" spans="1:9">
      <c r="A600" s="195">
        <f t="shared" si="42"/>
        <v>585</v>
      </c>
      <c r="B600" s="116" t="str">
        <f t="shared" si="43"/>
        <v>249</v>
      </c>
      <c r="C600" s="50"/>
      <c r="D600" s="111"/>
      <c r="E600" s="113"/>
      <c r="F600" s="114"/>
      <c r="G600" s="181"/>
      <c r="H600" s="183" t="str">
        <f t="shared" si="44"/>
        <v>FF</v>
      </c>
      <c r="I600" s="112"/>
    </row>
    <row r="601" spans="1:9">
      <c r="A601" s="195">
        <f t="shared" si="42"/>
        <v>586</v>
      </c>
      <c r="B601" s="116" t="str">
        <f t="shared" si="43"/>
        <v>24A</v>
      </c>
      <c r="C601" s="50"/>
      <c r="D601" s="111"/>
      <c r="E601" s="113"/>
      <c r="F601" s="114"/>
      <c r="G601" s="181"/>
      <c r="H601" s="183" t="str">
        <f t="shared" si="44"/>
        <v>FF</v>
      </c>
      <c r="I601" s="112"/>
    </row>
    <row r="602" spans="1:9">
      <c r="A602" s="195">
        <f t="shared" si="42"/>
        <v>587</v>
      </c>
      <c r="B602" s="116" t="str">
        <f t="shared" si="43"/>
        <v>24B</v>
      </c>
      <c r="C602" s="50"/>
      <c r="D602" s="111"/>
      <c r="E602" s="113"/>
      <c r="F602" s="114"/>
      <c r="G602" s="181"/>
      <c r="H602" s="183" t="str">
        <f t="shared" si="44"/>
        <v>FF</v>
      </c>
      <c r="I602" s="112"/>
    </row>
    <row r="603" spans="1:9">
      <c r="A603" s="195">
        <f t="shared" ref="A603:A666" si="45">A602+(ROW()-ROW(A602))</f>
        <v>588</v>
      </c>
      <c r="B603" s="116" t="str">
        <f t="shared" si="43"/>
        <v>24C</v>
      </c>
      <c r="C603" s="50"/>
      <c r="D603" s="111"/>
      <c r="E603" s="113"/>
      <c r="F603" s="114"/>
      <c r="G603" s="181"/>
      <c r="H603" s="183" t="str">
        <f t="shared" si="44"/>
        <v>FF</v>
      </c>
      <c r="I603" s="112"/>
    </row>
    <row r="604" spans="1:9">
      <c r="A604" s="195">
        <f t="shared" si="45"/>
        <v>589</v>
      </c>
      <c r="B604" s="116" t="str">
        <f t="shared" si="43"/>
        <v>24D</v>
      </c>
      <c r="C604" s="50"/>
      <c r="D604" s="111"/>
      <c r="E604" s="113"/>
      <c r="F604" s="114"/>
      <c r="G604" s="181"/>
      <c r="H604" s="183" t="str">
        <f t="shared" si="44"/>
        <v>FF</v>
      </c>
      <c r="I604" s="112"/>
    </row>
    <row r="605" spans="1:9">
      <c r="A605" s="195">
        <f t="shared" si="45"/>
        <v>590</v>
      </c>
      <c r="B605" s="116" t="str">
        <f t="shared" si="43"/>
        <v>24E</v>
      </c>
      <c r="C605" s="50"/>
      <c r="D605" s="111"/>
      <c r="E605" s="113"/>
      <c r="F605" s="114"/>
      <c r="G605" s="181"/>
      <c r="H605" s="183" t="str">
        <f t="shared" si="44"/>
        <v>FF</v>
      </c>
      <c r="I605" s="112"/>
    </row>
    <row r="606" spans="1:9">
      <c r="A606" s="195">
        <f t="shared" si="45"/>
        <v>591</v>
      </c>
      <c r="B606" s="116" t="str">
        <f t="shared" si="43"/>
        <v>24F</v>
      </c>
      <c r="C606" s="50"/>
      <c r="D606" s="111"/>
      <c r="E606" s="113"/>
      <c r="F606" s="114"/>
      <c r="G606" s="181"/>
      <c r="H606" s="183" t="str">
        <f t="shared" si="44"/>
        <v>FF</v>
      </c>
      <c r="I606" s="112"/>
    </row>
    <row r="607" spans="1:9">
      <c r="A607" s="195">
        <f t="shared" si="45"/>
        <v>592</v>
      </c>
      <c r="B607" s="116" t="str">
        <f t="shared" si="43"/>
        <v>250</v>
      </c>
      <c r="C607" s="50"/>
      <c r="D607" s="111"/>
      <c r="E607" s="113"/>
      <c r="F607" s="114"/>
      <c r="G607" s="181"/>
      <c r="H607" s="183" t="str">
        <f t="shared" si="44"/>
        <v>FF</v>
      </c>
      <c r="I607" s="112"/>
    </row>
    <row r="608" spans="1:9">
      <c r="A608" s="195">
        <f t="shared" si="45"/>
        <v>593</v>
      </c>
      <c r="B608" s="116" t="str">
        <f t="shared" si="43"/>
        <v>251</v>
      </c>
      <c r="C608" s="50"/>
      <c r="D608" s="111"/>
      <c r="E608" s="113"/>
      <c r="F608" s="114"/>
      <c r="G608" s="181"/>
      <c r="H608" s="183" t="str">
        <f t="shared" si="44"/>
        <v>FF</v>
      </c>
      <c r="I608" s="112"/>
    </row>
    <row r="609" spans="1:9">
      <c r="A609" s="195">
        <f t="shared" si="45"/>
        <v>594</v>
      </c>
      <c r="B609" s="116" t="str">
        <f t="shared" si="43"/>
        <v>252</v>
      </c>
      <c r="C609" s="50"/>
      <c r="D609" s="111"/>
      <c r="E609" s="113"/>
      <c r="F609" s="114"/>
      <c r="G609" s="181"/>
      <c r="H609" s="183" t="str">
        <f t="shared" si="44"/>
        <v>FF</v>
      </c>
      <c r="I609" s="112"/>
    </row>
    <row r="610" spans="1:9">
      <c r="A610" s="195">
        <f t="shared" si="45"/>
        <v>595</v>
      </c>
      <c r="B610" s="116" t="str">
        <f t="shared" si="43"/>
        <v>253</v>
      </c>
      <c r="C610" s="50"/>
      <c r="D610" s="111"/>
      <c r="E610" s="113"/>
      <c r="F610" s="114"/>
      <c r="G610" s="181"/>
      <c r="H610" s="183" t="str">
        <f t="shared" si="44"/>
        <v>FF</v>
      </c>
      <c r="I610" s="112"/>
    </row>
    <row r="611" spans="1:9">
      <c r="A611" s="195">
        <f t="shared" si="45"/>
        <v>596</v>
      </c>
      <c r="B611" s="116" t="str">
        <f t="shared" si="43"/>
        <v>254</v>
      </c>
      <c r="C611" s="50"/>
      <c r="D611" s="111"/>
      <c r="E611" s="113"/>
      <c r="F611" s="114"/>
      <c r="G611" s="181"/>
      <c r="H611" s="183" t="str">
        <f t="shared" si="44"/>
        <v>FF</v>
      </c>
      <c r="I611" s="112"/>
    </row>
    <row r="612" spans="1:9">
      <c r="A612" s="195">
        <f t="shared" si="45"/>
        <v>597</v>
      </c>
      <c r="B612" s="116" t="str">
        <f t="shared" si="43"/>
        <v>255</v>
      </c>
      <c r="C612" s="50"/>
      <c r="D612" s="111"/>
      <c r="E612" s="113"/>
      <c r="F612" s="114"/>
      <c r="G612" s="181"/>
      <c r="H612" s="183" t="str">
        <f t="shared" si="44"/>
        <v>FF</v>
      </c>
      <c r="I612" s="112"/>
    </row>
    <row r="613" spans="1:9">
      <c r="A613" s="195">
        <f t="shared" si="45"/>
        <v>598</v>
      </c>
      <c r="B613" s="116" t="str">
        <f t="shared" si="43"/>
        <v>256</v>
      </c>
      <c r="C613" s="50"/>
      <c r="D613" s="111"/>
      <c r="E613" s="113"/>
      <c r="F613" s="114"/>
      <c r="G613" s="181"/>
      <c r="H613" s="183" t="str">
        <f t="shared" si="44"/>
        <v>FF</v>
      </c>
      <c r="I613" s="112"/>
    </row>
    <row r="614" spans="1:9">
      <c r="A614" s="195">
        <f t="shared" si="45"/>
        <v>599</v>
      </c>
      <c r="B614" s="116" t="str">
        <f t="shared" si="43"/>
        <v>257</v>
      </c>
      <c r="C614" s="50"/>
      <c r="D614" s="111"/>
      <c r="E614" s="113"/>
      <c r="F614" s="114"/>
      <c r="G614" s="181"/>
      <c r="H614" s="183" t="str">
        <f t="shared" si="44"/>
        <v>FF</v>
      </c>
      <c r="I614" s="112"/>
    </row>
    <row r="615" spans="1:9">
      <c r="A615" s="195">
        <f t="shared" si="45"/>
        <v>600</v>
      </c>
      <c r="B615" s="116" t="str">
        <f t="shared" si="43"/>
        <v>258</v>
      </c>
      <c r="C615" s="50"/>
      <c r="D615" s="111"/>
      <c r="E615" s="113"/>
      <c r="F615" s="114"/>
      <c r="G615" s="181"/>
      <c r="H615" s="183" t="str">
        <f t="shared" si="44"/>
        <v>FF</v>
      </c>
      <c r="I615" s="112"/>
    </row>
    <row r="616" spans="1:9">
      <c r="A616" s="195">
        <f t="shared" si="45"/>
        <v>601</v>
      </c>
      <c r="B616" s="116" t="str">
        <f t="shared" si="43"/>
        <v>259</v>
      </c>
      <c r="C616" s="50"/>
      <c r="D616" s="111"/>
      <c r="E616" s="113"/>
      <c r="F616" s="114"/>
      <c r="G616" s="181"/>
      <c r="H616" s="183" t="str">
        <f t="shared" si="44"/>
        <v>FF</v>
      </c>
      <c r="I616" s="112"/>
    </row>
    <row r="617" spans="1:9">
      <c r="A617" s="195">
        <f t="shared" si="45"/>
        <v>602</v>
      </c>
      <c r="B617" s="116" t="str">
        <f t="shared" si="43"/>
        <v>25A</v>
      </c>
      <c r="C617" s="50"/>
      <c r="D617" s="111"/>
      <c r="E617" s="113"/>
      <c r="F617" s="114"/>
      <c r="G617" s="181"/>
      <c r="H617" s="183" t="str">
        <f t="shared" si="44"/>
        <v>FF</v>
      </c>
      <c r="I617" s="112"/>
    </row>
    <row r="618" spans="1:9">
      <c r="A618" s="195">
        <f t="shared" si="45"/>
        <v>603</v>
      </c>
      <c r="B618" s="116" t="str">
        <f t="shared" si="43"/>
        <v>25B</v>
      </c>
      <c r="C618" s="50"/>
      <c r="D618" s="111"/>
      <c r="E618" s="113"/>
      <c r="F618" s="114"/>
      <c r="G618" s="181"/>
      <c r="H618" s="183" t="str">
        <f t="shared" si="44"/>
        <v>FF</v>
      </c>
      <c r="I618" s="112"/>
    </row>
    <row r="619" spans="1:9">
      <c r="A619" s="195">
        <f t="shared" si="45"/>
        <v>604</v>
      </c>
      <c r="B619" s="116" t="str">
        <f t="shared" si="43"/>
        <v>25C</v>
      </c>
      <c r="C619" s="50"/>
      <c r="D619" s="111"/>
      <c r="E619" s="113"/>
      <c r="F619" s="114"/>
      <c r="G619" s="181"/>
      <c r="H619" s="183" t="str">
        <f t="shared" si="44"/>
        <v>FF</v>
      </c>
      <c r="I619" s="112"/>
    </row>
    <row r="620" spans="1:9">
      <c r="A620" s="195">
        <f t="shared" si="45"/>
        <v>605</v>
      </c>
      <c r="B620" s="116" t="str">
        <f t="shared" si="43"/>
        <v>25D</v>
      </c>
      <c r="C620" s="50"/>
      <c r="D620" s="111"/>
      <c r="E620" s="113"/>
      <c r="F620" s="114"/>
      <c r="G620" s="181"/>
      <c r="H620" s="183" t="str">
        <f t="shared" si="44"/>
        <v>FF</v>
      </c>
      <c r="I620" s="112"/>
    </row>
    <row r="621" spans="1:9">
      <c r="A621" s="195">
        <f t="shared" si="45"/>
        <v>606</v>
      </c>
      <c r="B621" s="116" t="str">
        <f t="shared" si="43"/>
        <v>25E</v>
      </c>
      <c r="C621" s="50"/>
      <c r="D621" s="111"/>
      <c r="E621" s="113"/>
      <c r="F621" s="114"/>
      <c r="G621" s="181"/>
      <c r="H621" s="183" t="str">
        <f t="shared" si="44"/>
        <v>FF</v>
      </c>
      <c r="I621" s="112"/>
    </row>
    <row r="622" spans="1:9">
      <c r="A622" s="195">
        <f t="shared" si="45"/>
        <v>607</v>
      </c>
      <c r="B622" s="116" t="str">
        <f t="shared" si="43"/>
        <v>25F</v>
      </c>
      <c r="C622" s="50"/>
      <c r="D622" s="111"/>
      <c r="E622" s="113"/>
      <c r="F622" s="114"/>
      <c r="G622" s="181"/>
      <c r="H622" s="183" t="str">
        <f t="shared" si="44"/>
        <v>FF</v>
      </c>
      <c r="I622" s="112"/>
    </row>
    <row r="623" spans="1:9">
      <c r="A623" s="195">
        <f t="shared" si="45"/>
        <v>608</v>
      </c>
      <c r="B623" s="116" t="str">
        <f t="shared" si="43"/>
        <v>260</v>
      </c>
      <c r="C623" s="50"/>
      <c r="D623" s="111"/>
      <c r="E623" s="113"/>
      <c r="F623" s="114"/>
      <c r="G623" s="181"/>
      <c r="H623" s="183" t="str">
        <f t="shared" si="44"/>
        <v>FF</v>
      </c>
      <c r="I623" s="112"/>
    </row>
    <row r="624" spans="1:9">
      <c r="A624" s="195">
        <f t="shared" si="45"/>
        <v>609</v>
      </c>
      <c r="B624" s="116" t="str">
        <f t="shared" si="43"/>
        <v>261</v>
      </c>
      <c r="C624" s="50"/>
      <c r="D624" s="111"/>
      <c r="E624" s="113"/>
      <c r="F624" s="114"/>
      <c r="G624" s="181"/>
      <c r="H624" s="183" t="str">
        <f t="shared" si="44"/>
        <v>FF</v>
      </c>
      <c r="I624" s="112"/>
    </row>
    <row r="625" spans="1:9">
      <c r="A625" s="195">
        <f t="shared" si="45"/>
        <v>610</v>
      </c>
      <c r="B625" s="116" t="str">
        <f t="shared" si="43"/>
        <v>262</v>
      </c>
      <c r="C625" s="50"/>
      <c r="D625" s="111"/>
      <c r="E625" s="113"/>
      <c r="F625" s="114"/>
      <c r="G625" s="181"/>
      <c r="H625" s="183" t="str">
        <f t="shared" si="44"/>
        <v>FF</v>
      </c>
      <c r="I625" s="112"/>
    </row>
    <row r="626" spans="1:9">
      <c r="A626" s="195">
        <f t="shared" si="45"/>
        <v>611</v>
      </c>
      <c r="B626" s="116" t="str">
        <f t="shared" si="43"/>
        <v>263</v>
      </c>
      <c r="C626" s="50"/>
      <c r="D626" s="111"/>
      <c r="E626" s="113"/>
      <c r="F626" s="114"/>
      <c r="G626" s="181"/>
      <c r="H626" s="183" t="str">
        <f t="shared" si="44"/>
        <v>FF</v>
      </c>
      <c r="I626" s="112"/>
    </row>
    <row r="627" spans="1:9">
      <c r="A627" s="195">
        <f t="shared" si="45"/>
        <v>612</v>
      </c>
      <c r="B627" s="116" t="str">
        <f t="shared" si="43"/>
        <v>264</v>
      </c>
      <c r="C627" s="50"/>
      <c r="D627" s="111"/>
      <c r="E627" s="113"/>
      <c r="F627" s="114"/>
      <c r="G627" s="181"/>
      <c r="H627" s="183" t="str">
        <f t="shared" si="44"/>
        <v>FF</v>
      </c>
      <c r="I627" s="112"/>
    </row>
    <row r="628" spans="1:9">
      <c r="A628" s="195">
        <f t="shared" si="45"/>
        <v>613</v>
      </c>
      <c r="B628" s="116" t="str">
        <f t="shared" si="43"/>
        <v>265</v>
      </c>
      <c r="C628" s="50"/>
      <c r="D628" s="111"/>
      <c r="E628" s="113"/>
      <c r="F628" s="114"/>
      <c r="G628" s="181"/>
      <c r="H628" s="183" t="str">
        <f t="shared" si="44"/>
        <v>FF</v>
      </c>
      <c r="I628" s="112"/>
    </row>
    <row r="629" spans="1:9">
      <c r="A629" s="195">
        <f t="shared" si="45"/>
        <v>614</v>
      </c>
      <c r="B629" s="116" t="str">
        <f t="shared" si="43"/>
        <v>266</v>
      </c>
      <c r="C629" s="50"/>
      <c r="D629" s="111"/>
      <c r="E629" s="113"/>
      <c r="F629" s="114"/>
      <c r="G629" s="181"/>
      <c r="H629" s="183" t="str">
        <f t="shared" si="44"/>
        <v>FF</v>
      </c>
      <c r="I629" s="112"/>
    </row>
    <row r="630" spans="1:9">
      <c r="A630" s="195">
        <f t="shared" si="45"/>
        <v>615</v>
      </c>
      <c r="B630" s="116" t="str">
        <f t="shared" ref="B630:B693" si="46">DEC2HEX(A630,3)</f>
        <v>267</v>
      </c>
      <c r="C630" s="50"/>
      <c r="D630" s="111"/>
      <c r="E630" s="113"/>
      <c r="F630" s="114"/>
      <c r="G630" s="181"/>
      <c r="H630" s="183" t="str">
        <f t="shared" si="44"/>
        <v>FF</v>
      </c>
      <c r="I630" s="112"/>
    </row>
    <row r="631" spans="1:9">
      <c r="A631" s="195">
        <f t="shared" si="45"/>
        <v>616</v>
      </c>
      <c r="B631" s="116" t="str">
        <f t="shared" si="46"/>
        <v>268</v>
      </c>
      <c r="C631" s="50"/>
      <c r="D631" s="111"/>
      <c r="E631" s="113"/>
      <c r="F631" s="114"/>
      <c r="G631" s="181"/>
      <c r="H631" s="183" t="str">
        <f t="shared" si="44"/>
        <v>FF</v>
      </c>
      <c r="I631" s="112"/>
    </row>
    <row r="632" spans="1:9">
      <c r="A632" s="195">
        <f t="shared" si="45"/>
        <v>617</v>
      </c>
      <c r="B632" s="116" t="str">
        <f t="shared" si="46"/>
        <v>269</v>
      </c>
      <c r="C632" s="50"/>
      <c r="D632" s="111"/>
      <c r="E632" s="113"/>
      <c r="F632" s="114"/>
      <c r="G632" s="181"/>
      <c r="H632" s="183" t="str">
        <f t="shared" si="44"/>
        <v>FF</v>
      </c>
      <c r="I632" s="112"/>
    </row>
    <row r="633" spans="1:9">
      <c r="A633" s="195">
        <f t="shared" si="45"/>
        <v>618</v>
      </c>
      <c r="B633" s="116" t="str">
        <f t="shared" si="46"/>
        <v>26A</v>
      </c>
      <c r="C633" s="50"/>
      <c r="D633" s="111"/>
      <c r="E633" s="113"/>
      <c r="F633" s="114"/>
      <c r="G633" s="181"/>
      <c r="H633" s="183" t="str">
        <f t="shared" si="44"/>
        <v>FF</v>
      </c>
      <c r="I633" s="112"/>
    </row>
    <row r="634" spans="1:9">
      <c r="A634" s="195">
        <f t="shared" si="45"/>
        <v>619</v>
      </c>
      <c r="B634" s="116" t="str">
        <f t="shared" si="46"/>
        <v>26B</v>
      </c>
      <c r="C634" s="50"/>
      <c r="D634" s="111"/>
      <c r="E634" s="113"/>
      <c r="F634" s="114"/>
      <c r="G634" s="181"/>
      <c r="H634" s="183" t="str">
        <f t="shared" si="44"/>
        <v>FF</v>
      </c>
      <c r="I634" s="112"/>
    </row>
    <row r="635" spans="1:9">
      <c r="A635" s="195">
        <f t="shared" si="45"/>
        <v>620</v>
      </c>
      <c r="B635" s="116" t="str">
        <f t="shared" si="46"/>
        <v>26C</v>
      </c>
      <c r="C635" s="50"/>
      <c r="D635" s="111"/>
      <c r="E635" s="113"/>
      <c r="F635" s="114"/>
      <c r="G635" s="181"/>
      <c r="H635" s="183" t="str">
        <f t="shared" si="44"/>
        <v>FF</v>
      </c>
      <c r="I635" s="112"/>
    </row>
    <row r="636" spans="1:9">
      <c r="A636" s="195">
        <f t="shared" si="45"/>
        <v>621</v>
      </c>
      <c r="B636" s="116" t="str">
        <f t="shared" si="46"/>
        <v>26D</v>
      </c>
      <c r="C636" s="50"/>
      <c r="D636" s="111"/>
      <c r="E636" s="113"/>
      <c r="F636" s="114"/>
      <c r="G636" s="181"/>
      <c r="H636" s="183" t="str">
        <f t="shared" si="44"/>
        <v>FF</v>
      </c>
      <c r="I636" s="112"/>
    </row>
    <row r="637" spans="1:9">
      <c r="A637" s="195">
        <f t="shared" si="45"/>
        <v>622</v>
      </c>
      <c r="B637" s="116" t="str">
        <f t="shared" si="46"/>
        <v>26E</v>
      </c>
      <c r="C637" s="50"/>
      <c r="D637" s="111"/>
      <c r="E637" s="113"/>
      <c r="F637" s="114"/>
      <c r="G637" s="181"/>
      <c r="H637" s="183" t="str">
        <f t="shared" si="44"/>
        <v>FF</v>
      </c>
      <c r="I637" s="112"/>
    </row>
    <row r="638" spans="1:9">
      <c r="A638" s="195">
        <f t="shared" si="45"/>
        <v>623</v>
      </c>
      <c r="B638" s="116" t="str">
        <f t="shared" si="46"/>
        <v>26F</v>
      </c>
      <c r="C638" s="50"/>
      <c r="D638" s="111"/>
      <c r="E638" s="113"/>
      <c r="F638" s="114"/>
      <c r="G638" s="181"/>
      <c r="H638" s="183" t="str">
        <f t="shared" si="44"/>
        <v>FF</v>
      </c>
      <c r="I638" s="112"/>
    </row>
    <row r="639" spans="1:9">
      <c r="A639" s="195">
        <f t="shared" si="45"/>
        <v>624</v>
      </c>
      <c r="B639" s="116" t="str">
        <f t="shared" si="46"/>
        <v>270</v>
      </c>
      <c r="C639" s="50"/>
      <c r="D639" s="111"/>
      <c r="E639" s="113"/>
      <c r="F639" s="114"/>
      <c r="G639" s="181"/>
      <c r="H639" s="183" t="str">
        <f t="shared" si="44"/>
        <v>FF</v>
      </c>
      <c r="I639" s="112"/>
    </row>
    <row r="640" spans="1:9">
      <c r="A640" s="195">
        <f t="shared" si="45"/>
        <v>625</v>
      </c>
      <c r="B640" s="116" t="str">
        <f t="shared" si="46"/>
        <v>271</v>
      </c>
      <c r="C640" s="50"/>
      <c r="D640" s="111"/>
      <c r="E640" s="113"/>
      <c r="F640" s="114"/>
      <c r="G640" s="181"/>
      <c r="H640" s="183" t="str">
        <f t="shared" si="44"/>
        <v>FF</v>
      </c>
      <c r="I640" s="112"/>
    </row>
    <row r="641" spans="1:9">
      <c r="A641" s="195">
        <f t="shared" si="45"/>
        <v>626</v>
      </c>
      <c r="B641" s="116" t="str">
        <f t="shared" si="46"/>
        <v>272</v>
      </c>
      <c r="C641" s="50"/>
      <c r="D641" s="111"/>
      <c r="E641" s="113"/>
      <c r="F641" s="114"/>
      <c r="G641" s="181"/>
      <c r="H641" s="183" t="str">
        <f t="shared" si="44"/>
        <v>FF</v>
      </c>
      <c r="I641" s="112"/>
    </row>
    <row r="642" spans="1:9">
      <c r="A642" s="195">
        <f t="shared" si="45"/>
        <v>627</v>
      </c>
      <c r="B642" s="116" t="str">
        <f t="shared" si="46"/>
        <v>273</v>
      </c>
      <c r="C642" s="50"/>
      <c r="D642" s="111"/>
      <c r="E642" s="113"/>
      <c r="F642" s="114"/>
      <c r="G642" s="181"/>
      <c r="H642" s="183" t="str">
        <f t="shared" si="44"/>
        <v>FF</v>
      </c>
      <c r="I642" s="112"/>
    </row>
    <row r="643" spans="1:9">
      <c r="A643" s="195">
        <f t="shared" si="45"/>
        <v>628</v>
      </c>
      <c r="B643" s="116" t="str">
        <f t="shared" si="46"/>
        <v>274</v>
      </c>
      <c r="C643" s="50"/>
      <c r="D643" s="111"/>
      <c r="E643" s="113"/>
      <c r="F643" s="114"/>
      <c r="G643" s="181"/>
      <c r="H643" s="183" t="str">
        <f t="shared" si="44"/>
        <v>FF</v>
      </c>
      <c r="I643" s="112"/>
    </row>
    <row r="644" spans="1:9">
      <c r="A644" s="195">
        <f t="shared" si="45"/>
        <v>629</v>
      </c>
      <c r="B644" s="116" t="str">
        <f t="shared" si="46"/>
        <v>275</v>
      </c>
      <c r="C644" s="50"/>
      <c r="D644" s="111"/>
      <c r="E644" s="113"/>
      <c r="F644" s="114"/>
      <c r="G644" s="181"/>
      <c r="H644" s="183" t="str">
        <f t="shared" si="44"/>
        <v>FF</v>
      </c>
      <c r="I644" s="112"/>
    </row>
    <row r="645" spans="1:9">
      <c r="A645" s="195">
        <f t="shared" si="45"/>
        <v>630</v>
      </c>
      <c r="B645" s="116" t="str">
        <f t="shared" si="46"/>
        <v>276</v>
      </c>
      <c r="C645" s="50"/>
      <c r="D645" s="111"/>
      <c r="E645" s="113"/>
      <c r="F645" s="114"/>
      <c r="G645" s="181"/>
      <c r="H645" s="183" t="str">
        <f t="shared" si="44"/>
        <v>FF</v>
      </c>
      <c r="I645" s="112"/>
    </row>
    <row r="646" spans="1:9">
      <c r="A646" s="195">
        <f t="shared" si="45"/>
        <v>631</v>
      </c>
      <c r="B646" s="116" t="str">
        <f t="shared" si="46"/>
        <v>277</v>
      </c>
      <c r="C646" s="50"/>
      <c r="D646" s="111"/>
      <c r="E646" s="113"/>
      <c r="F646" s="114"/>
      <c r="G646" s="181"/>
      <c r="H646" s="183" t="str">
        <f t="shared" si="44"/>
        <v>FF</v>
      </c>
      <c r="I646" s="112"/>
    </row>
    <row r="647" spans="1:9">
      <c r="A647" s="195">
        <f t="shared" si="45"/>
        <v>632</v>
      </c>
      <c r="B647" s="116" t="str">
        <f t="shared" si="46"/>
        <v>278</v>
      </c>
      <c r="C647" s="50"/>
      <c r="D647" s="111"/>
      <c r="E647" s="113"/>
      <c r="F647" s="114"/>
      <c r="G647" s="181"/>
      <c r="H647" s="183" t="str">
        <f t="shared" si="44"/>
        <v>FF</v>
      </c>
      <c r="I647" s="112"/>
    </row>
    <row r="648" spans="1:9">
      <c r="A648" s="195">
        <f t="shared" si="45"/>
        <v>633</v>
      </c>
      <c r="B648" s="116" t="str">
        <f t="shared" si="46"/>
        <v>279</v>
      </c>
      <c r="C648" s="50"/>
      <c r="D648" s="111"/>
      <c r="E648" s="113"/>
      <c r="F648" s="114"/>
      <c r="G648" s="181"/>
      <c r="H648" s="183" t="str">
        <f t="shared" ref="H648:H711" si="47">Fill</f>
        <v>FF</v>
      </c>
      <c r="I648" s="112"/>
    </row>
    <row r="649" spans="1:9">
      <c r="A649" s="195">
        <f t="shared" si="45"/>
        <v>634</v>
      </c>
      <c r="B649" s="116" t="str">
        <f t="shared" si="46"/>
        <v>27A</v>
      </c>
      <c r="C649" s="50"/>
      <c r="D649" s="111"/>
      <c r="E649" s="113"/>
      <c r="F649" s="114"/>
      <c r="G649" s="181"/>
      <c r="H649" s="183" t="str">
        <f t="shared" si="47"/>
        <v>FF</v>
      </c>
      <c r="I649" s="112"/>
    </row>
    <row r="650" spans="1:9">
      <c r="A650" s="195">
        <f t="shared" si="45"/>
        <v>635</v>
      </c>
      <c r="B650" s="116" t="str">
        <f t="shared" si="46"/>
        <v>27B</v>
      </c>
      <c r="C650" s="50"/>
      <c r="D650" s="111"/>
      <c r="E650" s="113"/>
      <c r="F650" s="114"/>
      <c r="G650" s="181"/>
      <c r="H650" s="183" t="str">
        <f t="shared" si="47"/>
        <v>FF</v>
      </c>
      <c r="I650" s="112"/>
    </row>
    <row r="651" spans="1:9">
      <c r="A651" s="195">
        <f t="shared" si="45"/>
        <v>636</v>
      </c>
      <c r="B651" s="116" t="str">
        <f t="shared" si="46"/>
        <v>27C</v>
      </c>
      <c r="C651" s="50"/>
      <c r="D651" s="111"/>
      <c r="E651" s="113"/>
      <c r="F651" s="114"/>
      <c r="G651" s="181"/>
      <c r="H651" s="183" t="str">
        <f t="shared" si="47"/>
        <v>FF</v>
      </c>
      <c r="I651" s="112"/>
    </row>
    <row r="652" spans="1:9">
      <c r="A652" s="195">
        <f t="shared" si="45"/>
        <v>637</v>
      </c>
      <c r="B652" s="116" t="str">
        <f t="shared" si="46"/>
        <v>27D</v>
      </c>
      <c r="C652" s="50"/>
      <c r="D652" s="111"/>
      <c r="E652" s="113"/>
      <c r="F652" s="114"/>
      <c r="G652" s="181"/>
      <c r="H652" s="183" t="str">
        <f t="shared" si="47"/>
        <v>FF</v>
      </c>
      <c r="I652" s="112"/>
    </row>
    <row r="653" spans="1:9">
      <c r="A653" s="195">
        <f t="shared" si="45"/>
        <v>638</v>
      </c>
      <c r="B653" s="116" t="str">
        <f t="shared" si="46"/>
        <v>27E</v>
      </c>
      <c r="C653" s="50"/>
      <c r="D653" s="111"/>
      <c r="E653" s="113"/>
      <c r="F653" s="114"/>
      <c r="G653" s="181"/>
      <c r="H653" s="183" t="str">
        <f t="shared" si="47"/>
        <v>FF</v>
      </c>
      <c r="I653" s="112"/>
    </row>
    <row r="654" spans="1:9">
      <c r="A654" s="195">
        <f t="shared" si="45"/>
        <v>639</v>
      </c>
      <c r="B654" s="116" t="str">
        <f t="shared" si="46"/>
        <v>27F</v>
      </c>
      <c r="C654" s="50"/>
      <c r="D654" s="111"/>
      <c r="E654" s="113"/>
      <c r="F654" s="114"/>
      <c r="G654" s="181"/>
      <c r="H654" s="183" t="str">
        <f t="shared" si="47"/>
        <v>FF</v>
      </c>
      <c r="I654" s="112"/>
    </row>
    <row r="655" spans="1:9">
      <c r="A655" s="195">
        <f t="shared" si="45"/>
        <v>640</v>
      </c>
      <c r="B655" s="116" t="str">
        <f t="shared" si="46"/>
        <v>280</v>
      </c>
      <c r="C655" s="50"/>
      <c r="D655" s="111"/>
      <c r="E655" s="113"/>
      <c r="F655" s="114"/>
      <c r="G655" s="181"/>
      <c r="H655" s="183" t="str">
        <f t="shared" si="47"/>
        <v>FF</v>
      </c>
      <c r="I655" s="112"/>
    </row>
    <row r="656" spans="1:9">
      <c r="A656" s="195">
        <f t="shared" si="45"/>
        <v>641</v>
      </c>
      <c r="B656" s="116" t="str">
        <f t="shared" si="46"/>
        <v>281</v>
      </c>
      <c r="C656" s="50"/>
      <c r="D656" s="111"/>
      <c r="E656" s="113"/>
      <c r="F656" s="114"/>
      <c r="G656" s="181"/>
      <c r="H656" s="183" t="str">
        <f t="shared" si="47"/>
        <v>FF</v>
      </c>
      <c r="I656" s="112"/>
    </row>
    <row r="657" spans="1:9">
      <c r="A657" s="195">
        <f t="shared" si="45"/>
        <v>642</v>
      </c>
      <c r="B657" s="116" t="str">
        <f t="shared" si="46"/>
        <v>282</v>
      </c>
      <c r="C657" s="50"/>
      <c r="D657" s="111"/>
      <c r="E657" s="113"/>
      <c r="F657" s="114"/>
      <c r="G657" s="181"/>
      <c r="H657" s="183" t="str">
        <f t="shared" si="47"/>
        <v>FF</v>
      </c>
      <c r="I657" s="112"/>
    </row>
    <row r="658" spans="1:9">
      <c r="A658" s="195">
        <f t="shared" si="45"/>
        <v>643</v>
      </c>
      <c r="B658" s="116" t="str">
        <f t="shared" si="46"/>
        <v>283</v>
      </c>
      <c r="C658" s="50"/>
      <c r="D658" s="111"/>
      <c r="E658" s="113"/>
      <c r="F658" s="114"/>
      <c r="G658" s="181"/>
      <c r="H658" s="183" t="str">
        <f t="shared" si="47"/>
        <v>FF</v>
      </c>
      <c r="I658" s="112"/>
    </row>
    <row r="659" spans="1:9">
      <c r="A659" s="195">
        <f t="shared" si="45"/>
        <v>644</v>
      </c>
      <c r="B659" s="116" t="str">
        <f t="shared" si="46"/>
        <v>284</v>
      </c>
      <c r="C659" s="50"/>
      <c r="D659" s="111"/>
      <c r="E659" s="113"/>
      <c r="F659" s="114"/>
      <c r="G659" s="181"/>
      <c r="H659" s="183" t="str">
        <f t="shared" si="47"/>
        <v>FF</v>
      </c>
      <c r="I659" s="112"/>
    </row>
    <row r="660" spans="1:9">
      <c r="A660" s="195">
        <f t="shared" si="45"/>
        <v>645</v>
      </c>
      <c r="B660" s="116" t="str">
        <f t="shared" si="46"/>
        <v>285</v>
      </c>
      <c r="C660" s="50"/>
      <c r="D660" s="111"/>
      <c r="E660" s="113"/>
      <c r="F660" s="114"/>
      <c r="G660" s="181"/>
      <c r="H660" s="183" t="str">
        <f t="shared" si="47"/>
        <v>FF</v>
      </c>
      <c r="I660" s="112"/>
    </row>
    <row r="661" spans="1:9">
      <c r="A661" s="195">
        <f t="shared" si="45"/>
        <v>646</v>
      </c>
      <c r="B661" s="116" t="str">
        <f t="shared" si="46"/>
        <v>286</v>
      </c>
      <c r="C661" s="50"/>
      <c r="D661" s="111"/>
      <c r="E661" s="113"/>
      <c r="F661" s="114"/>
      <c r="G661" s="181"/>
      <c r="H661" s="183" t="str">
        <f t="shared" si="47"/>
        <v>FF</v>
      </c>
      <c r="I661" s="112"/>
    </row>
    <row r="662" spans="1:9">
      <c r="A662" s="195">
        <f t="shared" si="45"/>
        <v>647</v>
      </c>
      <c r="B662" s="116" t="str">
        <f t="shared" si="46"/>
        <v>287</v>
      </c>
      <c r="C662" s="50"/>
      <c r="D662" s="111"/>
      <c r="E662" s="113"/>
      <c r="F662" s="114"/>
      <c r="G662" s="181"/>
      <c r="H662" s="183" t="str">
        <f t="shared" si="47"/>
        <v>FF</v>
      </c>
      <c r="I662" s="112"/>
    </row>
    <row r="663" spans="1:9">
      <c r="A663" s="195">
        <f t="shared" si="45"/>
        <v>648</v>
      </c>
      <c r="B663" s="116" t="str">
        <f t="shared" si="46"/>
        <v>288</v>
      </c>
      <c r="C663" s="50"/>
      <c r="D663" s="111"/>
      <c r="E663" s="113"/>
      <c r="F663" s="114"/>
      <c r="G663" s="181"/>
      <c r="H663" s="183" t="str">
        <f t="shared" si="47"/>
        <v>FF</v>
      </c>
      <c r="I663" s="112"/>
    </row>
    <row r="664" spans="1:9">
      <c r="A664" s="195">
        <f t="shared" si="45"/>
        <v>649</v>
      </c>
      <c r="B664" s="116" t="str">
        <f t="shared" si="46"/>
        <v>289</v>
      </c>
      <c r="C664" s="50"/>
      <c r="D664" s="111"/>
      <c r="E664" s="113"/>
      <c r="F664" s="114"/>
      <c r="G664" s="181"/>
      <c r="H664" s="183" t="str">
        <f t="shared" si="47"/>
        <v>FF</v>
      </c>
      <c r="I664" s="112"/>
    </row>
    <row r="665" spans="1:9">
      <c r="A665" s="195">
        <f t="shared" si="45"/>
        <v>650</v>
      </c>
      <c r="B665" s="116" t="str">
        <f t="shared" si="46"/>
        <v>28A</v>
      </c>
      <c r="C665" s="50"/>
      <c r="D665" s="111"/>
      <c r="E665" s="113"/>
      <c r="F665" s="114"/>
      <c r="G665" s="181"/>
      <c r="H665" s="183" t="str">
        <f t="shared" si="47"/>
        <v>FF</v>
      </c>
      <c r="I665" s="112"/>
    </row>
    <row r="666" spans="1:9">
      <c r="A666" s="195">
        <f t="shared" si="45"/>
        <v>651</v>
      </c>
      <c r="B666" s="116" t="str">
        <f t="shared" si="46"/>
        <v>28B</v>
      </c>
      <c r="C666" s="50"/>
      <c r="D666" s="111"/>
      <c r="E666" s="113"/>
      <c r="F666" s="114"/>
      <c r="G666" s="181"/>
      <c r="H666" s="183" t="str">
        <f t="shared" si="47"/>
        <v>FF</v>
      </c>
      <c r="I666" s="112"/>
    </row>
    <row r="667" spans="1:9">
      <c r="A667" s="195">
        <f t="shared" ref="A667:A730" si="48">A666+(ROW()-ROW(A666))</f>
        <v>652</v>
      </c>
      <c r="B667" s="116" t="str">
        <f t="shared" si="46"/>
        <v>28C</v>
      </c>
      <c r="C667" s="50"/>
      <c r="D667" s="111"/>
      <c r="E667" s="113"/>
      <c r="F667" s="114"/>
      <c r="G667" s="181"/>
      <c r="H667" s="183" t="str">
        <f t="shared" si="47"/>
        <v>FF</v>
      </c>
      <c r="I667" s="112"/>
    </row>
    <row r="668" spans="1:9">
      <c r="A668" s="195">
        <f t="shared" si="48"/>
        <v>653</v>
      </c>
      <c r="B668" s="116" t="str">
        <f t="shared" si="46"/>
        <v>28D</v>
      </c>
      <c r="C668" s="50"/>
      <c r="D668" s="111"/>
      <c r="E668" s="113"/>
      <c r="F668" s="114"/>
      <c r="G668" s="181"/>
      <c r="H668" s="183" t="str">
        <f t="shared" si="47"/>
        <v>FF</v>
      </c>
      <c r="I668" s="112"/>
    </row>
    <row r="669" spans="1:9">
      <c r="A669" s="195">
        <f t="shared" si="48"/>
        <v>654</v>
      </c>
      <c r="B669" s="116" t="str">
        <f t="shared" si="46"/>
        <v>28E</v>
      </c>
      <c r="C669" s="50"/>
      <c r="D669" s="111"/>
      <c r="E669" s="113"/>
      <c r="F669" s="114"/>
      <c r="G669" s="181"/>
      <c r="H669" s="183" t="str">
        <f t="shared" si="47"/>
        <v>FF</v>
      </c>
      <c r="I669" s="112"/>
    </row>
    <row r="670" spans="1:9">
      <c r="A670" s="195">
        <f t="shared" si="48"/>
        <v>655</v>
      </c>
      <c r="B670" s="116" t="str">
        <f t="shared" si="46"/>
        <v>28F</v>
      </c>
      <c r="C670" s="50"/>
      <c r="D670" s="111"/>
      <c r="E670" s="113"/>
      <c r="F670" s="114"/>
      <c r="G670" s="181"/>
      <c r="H670" s="183" t="str">
        <f t="shared" si="47"/>
        <v>FF</v>
      </c>
      <c r="I670" s="112"/>
    </row>
    <row r="671" spans="1:9">
      <c r="A671" s="195">
        <f t="shared" si="48"/>
        <v>656</v>
      </c>
      <c r="B671" s="116" t="str">
        <f t="shared" si="46"/>
        <v>290</v>
      </c>
      <c r="C671" s="50"/>
      <c r="D671" s="111"/>
      <c r="E671" s="113"/>
      <c r="F671" s="114"/>
      <c r="G671" s="181"/>
      <c r="H671" s="183" t="str">
        <f t="shared" si="47"/>
        <v>FF</v>
      </c>
      <c r="I671" s="112"/>
    </row>
    <row r="672" spans="1:9">
      <c r="A672" s="195">
        <f t="shared" si="48"/>
        <v>657</v>
      </c>
      <c r="B672" s="116" t="str">
        <f t="shared" si="46"/>
        <v>291</v>
      </c>
      <c r="C672" s="50"/>
      <c r="D672" s="111"/>
      <c r="E672" s="113"/>
      <c r="F672" s="114"/>
      <c r="G672" s="181"/>
      <c r="H672" s="183" t="str">
        <f t="shared" si="47"/>
        <v>FF</v>
      </c>
      <c r="I672" s="112"/>
    </row>
    <row r="673" spans="1:9">
      <c r="A673" s="195">
        <f t="shared" si="48"/>
        <v>658</v>
      </c>
      <c r="B673" s="116" t="str">
        <f t="shared" si="46"/>
        <v>292</v>
      </c>
      <c r="C673" s="50"/>
      <c r="D673" s="111"/>
      <c r="E673" s="113"/>
      <c r="F673" s="114"/>
      <c r="G673" s="181"/>
      <c r="H673" s="183" t="str">
        <f t="shared" si="47"/>
        <v>FF</v>
      </c>
      <c r="I673" s="112"/>
    </row>
    <row r="674" spans="1:9">
      <c r="A674" s="195">
        <f t="shared" si="48"/>
        <v>659</v>
      </c>
      <c r="B674" s="116" t="str">
        <f t="shared" si="46"/>
        <v>293</v>
      </c>
      <c r="C674" s="50"/>
      <c r="D674" s="111"/>
      <c r="E674" s="113"/>
      <c r="F674" s="114"/>
      <c r="G674" s="181"/>
      <c r="H674" s="183" t="str">
        <f t="shared" si="47"/>
        <v>FF</v>
      </c>
      <c r="I674" s="112"/>
    </row>
    <row r="675" spans="1:9">
      <c r="A675" s="195">
        <f t="shared" si="48"/>
        <v>660</v>
      </c>
      <c r="B675" s="116" t="str">
        <f t="shared" si="46"/>
        <v>294</v>
      </c>
      <c r="C675" s="50"/>
      <c r="D675" s="111"/>
      <c r="E675" s="113"/>
      <c r="F675" s="114"/>
      <c r="G675" s="181"/>
      <c r="H675" s="183" t="str">
        <f t="shared" si="47"/>
        <v>FF</v>
      </c>
      <c r="I675" s="112"/>
    </row>
    <row r="676" spans="1:9">
      <c r="A676" s="195">
        <f t="shared" si="48"/>
        <v>661</v>
      </c>
      <c r="B676" s="116" t="str">
        <f t="shared" si="46"/>
        <v>295</v>
      </c>
      <c r="C676" s="50"/>
      <c r="D676" s="111"/>
      <c r="E676" s="113"/>
      <c r="F676" s="114"/>
      <c r="G676" s="181"/>
      <c r="H676" s="183" t="str">
        <f t="shared" si="47"/>
        <v>FF</v>
      </c>
      <c r="I676" s="112"/>
    </row>
    <row r="677" spans="1:9">
      <c r="A677" s="195">
        <f t="shared" si="48"/>
        <v>662</v>
      </c>
      <c r="B677" s="116" t="str">
        <f t="shared" si="46"/>
        <v>296</v>
      </c>
      <c r="C677" s="50"/>
      <c r="D677" s="111"/>
      <c r="E677" s="113"/>
      <c r="F677" s="114"/>
      <c r="G677" s="181"/>
      <c r="H677" s="183" t="str">
        <f t="shared" si="47"/>
        <v>FF</v>
      </c>
      <c r="I677" s="112"/>
    </row>
    <row r="678" spans="1:9">
      <c r="A678" s="195">
        <f t="shared" si="48"/>
        <v>663</v>
      </c>
      <c r="B678" s="116" t="str">
        <f t="shared" si="46"/>
        <v>297</v>
      </c>
      <c r="C678" s="50"/>
      <c r="D678" s="111"/>
      <c r="E678" s="113"/>
      <c r="F678" s="114"/>
      <c r="G678" s="181"/>
      <c r="H678" s="183" t="str">
        <f t="shared" si="47"/>
        <v>FF</v>
      </c>
      <c r="I678" s="112"/>
    </row>
    <row r="679" spans="1:9">
      <c r="A679" s="195">
        <f t="shared" si="48"/>
        <v>664</v>
      </c>
      <c r="B679" s="116" t="str">
        <f t="shared" si="46"/>
        <v>298</v>
      </c>
      <c r="C679" s="50"/>
      <c r="D679" s="111"/>
      <c r="E679" s="113"/>
      <c r="F679" s="114"/>
      <c r="G679" s="181"/>
      <c r="H679" s="183" t="str">
        <f t="shared" si="47"/>
        <v>FF</v>
      </c>
      <c r="I679" s="112"/>
    </row>
    <row r="680" spans="1:9">
      <c r="A680" s="195">
        <f t="shared" si="48"/>
        <v>665</v>
      </c>
      <c r="B680" s="116" t="str">
        <f t="shared" si="46"/>
        <v>299</v>
      </c>
      <c r="C680" s="50"/>
      <c r="D680" s="111"/>
      <c r="E680" s="113"/>
      <c r="F680" s="114"/>
      <c r="G680" s="181"/>
      <c r="H680" s="183" t="str">
        <f t="shared" si="47"/>
        <v>FF</v>
      </c>
      <c r="I680" s="112"/>
    </row>
    <row r="681" spans="1:9">
      <c r="A681" s="195">
        <f t="shared" si="48"/>
        <v>666</v>
      </c>
      <c r="B681" s="116" t="str">
        <f t="shared" si="46"/>
        <v>29A</v>
      </c>
      <c r="C681" s="50"/>
      <c r="D681" s="111"/>
      <c r="E681" s="113"/>
      <c r="F681" s="114"/>
      <c r="G681" s="181"/>
      <c r="H681" s="183" t="str">
        <f t="shared" si="47"/>
        <v>FF</v>
      </c>
      <c r="I681" s="112"/>
    </row>
    <row r="682" spans="1:9">
      <c r="A682" s="195">
        <f t="shared" si="48"/>
        <v>667</v>
      </c>
      <c r="B682" s="116" t="str">
        <f t="shared" si="46"/>
        <v>29B</v>
      </c>
      <c r="C682" s="50"/>
      <c r="D682" s="111"/>
      <c r="E682" s="113"/>
      <c r="F682" s="114"/>
      <c r="G682" s="181"/>
      <c r="H682" s="183" t="str">
        <f t="shared" si="47"/>
        <v>FF</v>
      </c>
      <c r="I682" s="112"/>
    </row>
    <row r="683" spans="1:9">
      <c r="A683" s="195">
        <f t="shared" si="48"/>
        <v>668</v>
      </c>
      <c r="B683" s="116" t="str">
        <f t="shared" si="46"/>
        <v>29C</v>
      </c>
      <c r="C683" s="50"/>
      <c r="D683" s="111"/>
      <c r="E683" s="113"/>
      <c r="F683" s="114"/>
      <c r="G683" s="181"/>
      <c r="H683" s="183" t="str">
        <f t="shared" si="47"/>
        <v>FF</v>
      </c>
      <c r="I683" s="112"/>
    </row>
    <row r="684" spans="1:9">
      <c r="A684" s="195">
        <f t="shared" si="48"/>
        <v>669</v>
      </c>
      <c r="B684" s="116" t="str">
        <f t="shared" si="46"/>
        <v>29D</v>
      </c>
      <c r="C684" s="50"/>
      <c r="D684" s="111"/>
      <c r="E684" s="113"/>
      <c r="F684" s="114"/>
      <c r="G684" s="181"/>
      <c r="H684" s="183" t="str">
        <f t="shared" si="47"/>
        <v>FF</v>
      </c>
      <c r="I684" s="112"/>
    </row>
    <row r="685" spans="1:9">
      <c r="A685" s="195">
        <f t="shared" si="48"/>
        <v>670</v>
      </c>
      <c r="B685" s="116" t="str">
        <f t="shared" si="46"/>
        <v>29E</v>
      </c>
      <c r="C685" s="50"/>
      <c r="D685" s="111"/>
      <c r="E685" s="113"/>
      <c r="F685" s="114"/>
      <c r="G685" s="181"/>
      <c r="H685" s="183" t="str">
        <f t="shared" si="47"/>
        <v>FF</v>
      </c>
      <c r="I685" s="112"/>
    </row>
    <row r="686" spans="1:9">
      <c r="A686" s="195">
        <f t="shared" si="48"/>
        <v>671</v>
      </c>
      <c r="B686" s="116" t="str">
        <f t="shared" si="46"/>
        <v>29F</v>
      </c>
      <c r="C686" s="50"/>
      <c r="D686" s="111"/>
      <c r="E686" s="113"/>
      <c r="F686" s="114"/>
      <c r="G686" s="181"/>
      <c r="H686" s="183" t="str">
        <f t="shared" si="47"/>
        <v>FF</v>
      </c>
      <c r="I686" s="112"/>
    </row>
    <row r="687" spans="1:9">
      <c r="A687" s="195">
        <f t="shared" si="48"/>
        <v>672</v>
      </c>
      <c r="B687" s="116" t="str">
        <f t="shared" si="46"/>
        <v>2A0</v>
      </c>
      <c r="C687" s="50"/>
      <c r="D687" s="111"/>
      <c r="E687" s="113"/>
      <c r="F687" s="114"/>
      <c r="G687" s="181"/>
      <c r="H687" s="183" t="str">
        <f t="shared" si="47"/>
        <v>FF</v>
      </c>
      <c r="I687" s="112"/>
    </row>
    <row r="688" spans="1:9">
      <c r="A688" s="195">
        <f t="shared" si="48"/>
        <v>673</v>
      </c>
      <c r="B688" s="116" t="str">
        <f t="shared" si="46"/>
        <v>2A1</v>
      </c>
      <c r="C688" s="50"/>
      <c r="D688" s="111"/>
      <c r="E688" s="113"/>
      <c r="F688" s="114"/>
      <c r="G688" s="181"/>
      <c r="H688" s="183" t="str">
        <f t="shared" si="47"/>
        <v>FF</v>
      </c>
      <c r="I688" s="112"/>
    </row>
    <row r="689" spans="1:9">
      <c r="A689" s="195">
        <f t="shared" si="48"/>
        <v>674</v>
      </c>
      <c r="B689" s="116" t="str">
        <f t="shared" si="46"/>
        <v>2A2</v>
      </c>
      <c r="C689" s="50"/>
      <c r="D689" s="111"/>
      <c r="E689" s="113"/>
      <c r="F689" s="114"/>
      <c r="G689" s="181"/>
      <c r="H689" s="183" t="str">
        <f t="shared" si="47"/>
        <v>FF</v>
      </c>
      <c r="I689" s="112"/>
    </row>
    <row r="690" spans="1:9">
      <c r="A690" s="195">
        <f t="shared" si="48"/>
        <v>675</v>
      </c>
      <c r="B690" s="116" t="str">
        <f t="shared" si="46"/>
        <v>2A3</v>
      </c>
      <c r="C690" s="50"/>
      <c r="D690" s="111"/>
      <c r="E690" s="113"/>
      <c r="F690" s="114"/>
      <c r="G690" s="181"/>
      <c r="H690" s="183" t="str">
        <f t="shared" si="47"/>
        <v>FF</v>
      </c>
      <c r="I690" s="112"/>
    </row>
    <row r="691" spans="1:9">
      <c r="A691" s="195">
        <f t="shared" si="48"/>
        <v>676</v>
      </c>
      <c r="B691" s="116" t="str">
        <f t="shared" si="46"/>
        <v>2A4</v>
      </c>
      <c r="C691" s="50"/>
      <c r="D691" s="111"/>
      <c r="E691" s="113"/>
      <c r="F691" s="114"/>
      <c r="G691" s="181"/>
      <c r="H691" s="183" t="str">
        <f t="shared" si="47"/>
        <v>FF</v>
      </c>
      <c r="I691" s="112"/>
    </row>
    <row r="692" spans="1:9">
      <c r="A692" s="195">
        <f t="shared" si="48"/>
        <v>677</v>
      </c>
      <c r="B692" s="116" t="str">
        <f t="shared" si="46"/>
        <v>2A5</v>
      </c>
      <c r="C692" s="50"/>
      <c r="D692" s="111"/>
      <c r="E692" s="113"/>
      <c r="F692" s="114"/>
      <c r="G692" s="181"/>
      <c r="H692" s="183" t="str">
        <f t="shared" si="47"/>
        <v>FF</v>
      </c>
      <c r="I692" s="112"/>
    </row>
    <row r="693" spans="1:9">
      <c r="A693" s="195">
        <f t="shared" si="48"/>
        <v>678</v>
      </c>
      <c r="B693" s="116" t="str">
        <f t="shared" si="46"/>
        <v>2A6</v>
      </c>
      <c r="C693" s="50"/>
      <c r="D693" s="111"/>
      <c r="E693" s="113"/>
      <c r="F693" s="114"/>
      <c r="G693" s="181"/>
      <c r="H693" s="183" t="str">
        <f t="shared" si="47"/>
        <v>FF</v>
      </c>
      <c r="I693" s="112"/>
    </row>
    <row r="694" spans="1:9">
      <c r="A694" s="195">
        <f t="shared" si="48"/>
        <v>679</v>
      </c>
      <c r="B694" s="116" t="str">
        <f t="shared" ref="B694:B757" si="49">DEC2HEX(A694,3)</f>
        <v>2A7</v>
      </c>
      <c r="C694" s="50"/>
      <c r="D694" s="111"/>
      <c r="E694" s="113"/>
      <c r="F694" s="114"/>
      <c r="G694" s="181"/>
      <c r="H694" s="183" t="str">
        <f t="shared" si="47"/>
        <v>FF</v>
      </c>
      <c r="I694" s="112"/>
    </row>
    <row r="695" spans="1:9">
      <c r="A695" s="195">
        <f t="shared" si="48"/>
        <v>680</v>
      </c>
      <c r="B695" s="116" t="str">
        <f t="shared" si="49"/>
        <v>2A8</v>
      </c>
      <c r="C695" s="50"/>
      <c r="D695" s="111"/>
      <c r="E695" s="113"/>
      <c r="F695" s="114"/>
      <c r="G695" s="181"/>
      <c r="H695" s="183" t="str">
        <f t="shared" si="47"/>
        <v>FF</v>
      </c>
      <c r="I695" s="112"/>
    </row>
    <row r="696" spans="1:9">
      <c r="A696" s="195">
        <f t="shared" si="48"/>
        <v>681</v>
      </c>
      <c r="B696" s="116" t="str">
        <f t="shared" si="49"/>
        <v>2A9</v>
      </c>
      <c r="C696" s="50"/>
      <c r="D696" s="111"/>
      <c r="E696" s="113"/>
      <c r="F696" s="114"/>
      <c r="G696" s="181"/>
      <c r="H696" s="183" t="str">
        <f t="shared" si="47"/>
        <v>FF</v>
      </c>
      <c r="I696" s="112"/>
    </row>
    <row r="697" spans="1:9">
      <c r="A697" s="195">
        <f t="shared" si="48"/>
        <v>682</v>
      </c>
      <c r="B697" s="116" t="str">
        <f t="shared" si="49"/>
        <v>2AA</v>
      </c>
      <c r="C697" s="50"/>
      <c r="D697" s="111"/>
      <c r="E697" s="113"/>
      <c r="F697" s="114"/>
      <c r="G697" s="181"/>
      <c r="H697" s="183" t="str">
        <f t="shared" si="47"/>
        <v>FF</v>
      </c>
      <c r="I697" s="112"/>
    </row>
    <row r="698" spans="1:9">
      <c r="A698" s="195">
        <f t="shared" si="48"/>
        <v>683</v>
      </c>
      <c r="B698" s="116" t="str">
        <f t="shared" si="49"/>
        <v>2AB</v>
      </c>
      <c r="C698" s="50"/>
      <c r="D698" s="111"/>
      <c r="E698" s="113"/>
      <c r="F698" s="114"/>
      <c r="G698" s="181"/>
      <c r="H698" s="183" t="str">
        <f t="shared" si="47"/>
        <v>FF</v>
      </c>
      <c r="I698" s="112"/>
    </row>
    <row r="699" spans="1:9">
      <c r="A699" s="195">
        <f t="shared" si="48"/>
        <v>684</v>
      </c>
      <c r="B699" s="116" t="str">
        <f t="shared" si="49"/>
        <v>2AC</v>
      </c>
      <c r="C699" s="50"/>
      <c r="D699" s="111"/>
      <c r="E699" s="113"/>
      <c r="F699" s="114"/>
      <c r="G699" s="181"/>
      <c r="H699" s="183" t="str">
        <f t="shared" si="47"/>
        <v>FF</v>
      </c>
      <c r="I699" s="112"/>
    </row>
    <row r="700" spans="1:9">
      <c r="A700" s="195">
        <f t="shared" si="48"/>
        <v>685</v>
      </c>
      <c r="B700" s="116" t="str">
        <f t="shared" si="49"/>
        <v>2AD</v>
      </c>
      <c r="C700" s="50"/>
      <c r="D700" s="111"/>
      <c r="E700" s="113"/>
      <c r="F700" s="114"/>
      <c r="G700" s="181"/>
      <c r="H700" s="183" t="str">
        <f t="shared" si="47"/>
        <v>FF</v>
      </c>
      <c r="I700" s="112"/>
    </row>
    <row r="701" spans="1:9">
      <c r="A701" s="195">
        <f t="shared" si="48"/>
        <v>686</v>
      </c>
      <c r="B701" s="116" t="str">
        <f t="shared" si="49"/>
        <v>2AE</v>
      </c>
      <c r="C701" s="50"/>
      <c r="D701" s="111"/>
      <c r="E701" s="113"/>
      <c r="F701" s="114"/>
      <c r="G701" s="181"/>
      <c r="H701" s="183" t="str">
        <f t="shared" si="47"/>
        <v>FF</v>
      </c>
      <c r="I701" s="112"/>
    </row>
    <row r="702" spans="1:9">
      <c r="A702" s="195">
        <f t="shared" si="48"/>
        <v>687</v>
      </c>
      <c r="B702" s="116" t="str">
        <f t="shared" si="49"/>
        <v>2AF</v>
      </c>
      <c r="C702" s="50"/>
      <c r="D702" s="111"/>
      <c r="E702" s="113"/>
      <c r="F702" s="114"/>
      <c r="G702" s="181"/>
      <c r="H702" s="183" t="str">
        <f t="shared" si="47"/>
        <v>FF</v>
      </c>
      <c r="I702" s="112"/>
    </row>
    <row r="703" spans="1:9">
      <c r="A703" s="195">
        <f t="shared" si="48"/>
        <v>688</v>
      </c>
      <c r="B703" s="116" t="str">
        <f t="shared" si="49"/>
        <v>2B0</v>
      </c>
      <c r="C703" s="50"/>
      <c r="D703" s="111"/>
      <c r="E703" s="113"/>
      <c r="F703" s="114"/>
      <c r="G703" s="181"/>
      <c r="H703" s="183" t="str">
        <f t="shared" si="47"/>
        <v>FF</v>
      </c>
      <c r="I703" s="112"/>
    </row>
    <row r="704" spans="1:9">
      <c r="A704" s="195">
        <f t="shared" si="48"/>
        <v>689</v>
      </c>
      <c r="B704" s="116" t="str">
        <f t="shared" si="49"/>
        <v>2B1</v>
      </c>
      <c r="C704" s="50"/>
      <c r="D704" s="111"/>
      <c r="E704" s="113"/>
      <c r="F704" s="114"/>
      <c r="G704" s="181"/>
      <c r="H704" s="183" t="str">
        <f t="shared" si="47"/>
        <v>FF</v>
      </c>
      <c r="I704" s="112"/>
    </row>
    <row r="705" spans="1:9">
      <c r="A705" s="195">
        <f t="shared" si="48"/>
        <v>690</v>
      </c>
      <c r="B705" s="116" t="str">
        <f t="shared" si="49"/>
        <v>2B2</v>
      </c>
      <c r="C705" s="50"/>
      <c r="D705" s="111"/>
      <c r="E705" s="113"/>
      <c r="F705" s="114"/>
      <c r="G705" s="181"/>
      <c r="H705" s="183" t="str">
        <f t="shared" si="47"/>
        <v>FF</v>
      </c>
      <c r="I705" s="112"/>
    </row>
    <row r="706" spans="1:9">
      <c r="A706" s="195">
        <f t="shared" si="48"/>
        <v>691</v>
      </c>
      <c r="B706" s="116" t="str">
        <f t="shared" si="49"/>
        <v>2B3</v>
      </c>
      <c r="C706" s="50"/>
      <c r="D706" s="111"/>
      <c r="E706" s="113"/>
      <c r="F706" s="114"/>
      <c r="G706" s="181"/>
      <c r="H706" s="183" t="str">
        <f t="shared" si="47"/>
        <v>FF</v>
      </c>
      <c r="I706" s="112"/>
    </row>
    <row r="707" spans="1:9">
      <c r="A707" s="195">
        <f t="shared" si="48"/>
        <v>692</v>
      </c>
      <c r="B707" s="116" t="str">
        <f t="shared" si="49"/>
        <v>2B4</v>
      </c>
      <c r="C707" s="50"/>
      <c r="D707" s="111"/>
      <c r="E707" s="113"/>
      <c r="F707" s="114"/>
      <c r="G707" s="181"/>
      <c r="H707" s="183" t="str">
        <f t="shared" si="47"/>
        <v>FF</v>
      </c>
      <c r="I707" s="112"/>
    </row>
    <row r="708" spans="1:9">
      <c r="A708" s="195">
        <f t="shared" si="48"/>
        <v>693</v>
      </c>
      <c r="B708" s="116" t="str">
        <f t="shared" si="49"/>
        <v>2B5</v>
      </c>
      <c r="C708" s="50"/>
      <c r="D708" s="111"/>
      <c r="E708" s="113"/>
      <c r="F708" s="114"/>
      <c r="G708" s="181"/>
      <c r="H708" s="183" t="str">
        <f t="shared" si="47"/>
        <v>FF</v>
      </c>
      <c r="I708" s="112"/>
    </row>
    <row r="709" spans="1:9">
      <c r="A709" s="195">
        <f t="shared" si="48"/>
        <v>694</v>
      </c>
      <c r="B709" s="116" t="str">
        <f t="shared" si="49"/>
        <v>2B6</v>
      </c>
      <c r="C709" s="50"/>
      <c r="D709" s="111"/>
      <c r="E709" s="113"/>
      <c r="F709" s="114"/>
      <c r="G709" s="181"/>
      <c r="H709" s="183" t="str">
        <f t="shared" si="47"/>
        <v>FF</v>
      </c>
      <c r="I709" s="112"/>
    </row>
    <row r="710" spans="1:9">
      <c r="A710" s="195">
        <f t="shared" si="48"/>
        <v>695</v>
      </c>
      <c r="B710" s="116" t="str">
        <f t="shared" si="49"/>
        <v>2B7</v>
      </c>
      <c r="C710" s="50"/>
      <c r="D710" s="111"/>
      <c r="E710" s="113"/>
      <c r="F710" s="114"/>
      <c r="G710" s="181"/>
      <c r="H710" s="183" t="str">
        <f t="shared" si="47"/>
        <v>FF</v>
      </c>
      <c r="I710" s="112"/>
    </row>
    <row r="711" spans="1:9">
      <c r="A711" s="195">
        <f t="shared" si="48"/>
        <v>696</v>
      </c>
      <c r="B711" s="116" t="str">
        <f t="shared" si="49"/>
        <v>2B8</v>
      </c>
      <c r="C711" s="50"/>
      <c r="D711" s="111"/>
      <c r="E711" s="113"/>
      <c r="F711" s="114"/>
      <c r="G711" s="181"/>
      <c r="H711" s="183" t="str">
        <f t="shared" si="47"/>
        <v>FF</v>
      </c>
      <c r="I711" s="112"/>
    </row>
    <row r="712" spans="1:9">
      <c r="A712" s="195">
        <f t="shared" si="48"/>
        <v>697</v>
      </c>
      <c r="B712" s="116" t="str">
        <f t="shared" si="49"/>
        <v>2B9</v>
      </c>
      <c r="C712" s="50"/>
      <c r="D712" s="111"/>
      <c r="E712" s="113"/>
      <c r="F712" s="114"/>
      <c r="G712" s="181"/>
      <c r="H712" s="183" t="str">
        <f t="shared" ref="H712:H775" si="50">Fill</f>
        <v>FF</v>
      </c>
      <c r="I712" s="112"/>
    </row>
    <row r="713" spans="1:9">
      <c r="A713" s="195">
        <f t="shared" si="48"/>
        <v>698</v>
      </c>
      <c r="B713" s="116" t="str">
        <f t="shared" si="49"/>
        <v>2BA</v>
      </c>
      <c r="C713" s="50"/>
      <c r="D713" s="111"/>
      <c r="E713" s="113"/>
      <c r="F713" s="114"/>
      <c r="G713" s="181"/>
      <c r="H713" s="183" t="str">
        <f t="shared" si="50"/>
        <v>FF</v>
      </c>
      <c r="I713" s="112"/>
    </row>
    <row r="714" spans="1:9">
      <c r="A714" s="195">
        <f t="shared" si="48"/>
        <v>699</v>
      </c>
      <c r="B714" s="116" t="str">
        <f t="shared" si="49"/>
        <v>2BB</v>
      </c>
      <c r="C714" s="50"/>
      <c r="D714" s="111"/>
      <c r="E714" s="113"/>
      <c r="F714" s="114"/>
      <c r="G714" s="181"/>
      <c r="H714" s="183" t="str">
        <f t="shared" si="50"/>
        <v>FF</v>
      </c>
      <c r="I714" s="112"/>
    </row>
    <row r="715" spans="1:9">
      <c r="A715" s="195">
        <f t="shared" si="48"/>
        <v>700</v>
      </c>
      <c r="B715" s="116" t="str">
        <f t="shared" si="49"/>
        <v>2BC</v>
      </c>
      <c r="C715" s="50"/>
      <c r="D715" s="111"/>
      <c r="E715" s="113"/>
      <c r="F715" s="114"/>
      <c r="G715" s="181"/>
      <c r="H715" s="183" t="str">
        <f t="shared" si="50"/>
        <v>FF</v>
      </c>
      <c r="I715" s="112"/>
    </row>
    <row r="716" spans="1:9">
      <c r="A716" s="195">
        <f t="shared" si="48"/>
        <v>701</v>
      </c>
      <c r="B716" s="116" t="str">
        <f t="shared" si="49"/>
        <v>2BD</v>
      </c>
      <c r="C716" s="50"/>
      <c r="D716" s="111"/>
      <c r="E716" s="113"/>
      <c r="F716" s="114"/>
      <c r="G716" s="181"/>
      <c r="H716" s="183" t="str">
        <f t="shared" si="50"/>
        <v>FF</v>
      </c>
      <c r="I716" s="112"/>
    </row>
    <row r="717" spans="1:9">
      <c r="A717" s="195">
        <f t="shared" si="48"/>
        <v>702</v>
      </c>
      <c r="B717" s="116" t="str">
        <f t="shared" si="49"/>
        <v>2BE</v>
      </c>
      <c r="C717" s="50"/>
      <c r="D717" s="111"/>
      <c r="E717" s="113"/>
      <c r="F717" s="114"/>
      <c r="G717" s="181"/>
      <c r="H717" s="183" t="str">
        <f t="shared" si="50"/>
        <v>FF</v>
      </c>
      <c r="I717" s="112"/>
    </row>
    <row r="718" spans="1:9">
      <c r="A718" s="195">
        <f t="shared" si="48"/>
        <v>703</v>
      </c>
      <c r="B718" s="116" t="str">
        <f t="shared" si="49"/>
        <v>2BF</v>
      </c>
      <c r="C718" s="50"/>
      <c r="D718" s="111"/>
      <c r="E718" s="113"/>
      <c r="F718" s="114"/>
      <c r="G718" s="181"/>
      <c r="H718" s="183" t="str">
        <f t="shared" si="50"/>
        <v>FF</v>
      </c>
      <c r="I718" s="112"/>
    </row>
    <row r="719" spans="1:9">
      <c r="A719" s="195">
        <f t="shared" si="48"/>
        <v>704</v>
      </c>
      <c r="B719" s="116" t="str">
        <f t="shared" si="49"/>
        <v>2C0</v>
      </c>
      <c r="C719" s="50"/>
      <c r="D719" s="111"/>
      <c r="E719" s="113"/>
      <c r="F719" s="114"/>
      <c r="G719" s="181"/>
      <c r="H719" s="183" t="str">
        <f t="shared" si="50"/>
        <v>FF</v>
      </c>
      <c r="I719" s="112"/>
    </row>
    <row r="720" spans="1:9">
      <c r="A720" s="195">
        <f t="shared" si="48"/>
        <v>705</v>
      </c>
      <c r="B720" s="116" t="str">
        <f t="shared" si="49"/>
        <v>2C1</v>
      </c>
      <c r="C720" s="50"/>
      <c r="D720" s="111"/>
      <c r="E720" s="113"/>
      <c r="F720" s="114"/>
      <c r="G720" s="181"/>
      <c r="H720" s="183" t="str">
        <f t="shared" si="50"/>
        <v>FF</v>
      </c>
      <c r="I720" s="112"/>
    </row>
    <row r="721" spans="1:9">
      <c r="A721" s="195">
        <f t="shared" si="48"/>
        <v>706</v>
      </c>
      <c r="B721" s="116" t="str">
        <f t="shared" si="49"/>
        <v>2C2</v>
      </c>
      <c r="C721" s="50"/>
      <c r="D721" s="111"/>
      <c r="E721" s="113"/>
      <c r="F721" s="114"/>
      <c r="G721" s="181"/>
      <c r="H721" s="183" t="str">
        <f t="shared" si="50"/>
        <v>FF</v>
      </c>
      <c r="I721" s="112"/>
    </row>
    <row r="722" spans="1:9">
      <c r="A722" s="195">
        <f t="shared" si="48"/>
        <v>707</v>
      </c>
      <c r="B722" s="116" t="str">
        <f t="shared" si="49"/>
        <v>2C3</v>
      </c>
      <c r="C722" s="50"/>
      <c r="D722" s="111"/>
      <c r="E722" s="113"/>
      <c r="F722" s="114"/>
      <c r="G722" s="181"/>
      <c r="H722" s="183" t="str">
        <f t="shared" si="50"/>
        <v>FF</v>
      </c>
      <c r="I722" s="112"/>
    </row>
    <row r="723" spans="1:9">
      <c r="A723" s="195">
        <f t="shared" si="48"/>
        <v>708</v>
      </c>
      <c r="B723" s="116" t="str">
        <f t="shared" si="49"/>
        <v>2C4</v>
      </c>
      <c r="C723" s="50"/>
      <c r="D723" s="111"/>
      <c r="E723" s="113"/>
      <c r="F723" s="114"/>
      <c r="G723" s="181"/>
      <c r="H723" s="183" t="str">
        <f t="shared" si="50"/>
        <v>FF</v>
      </c>
      <c r="I723" s="112"/>
    </row>
    <row r="724" spans="1:9">
      <c r="A724" s="195">
        <f t="shared" si="48"/>
        <v>709</v>
      </c>
      <c r="B724" s="116" t="str">
        <f t="shared" si="49"/>
        <v>2C5</v>
      </c>
      <c r="C724" s="50"/>
      <c r="D724" s="111"/>
      <c r="E724" s="113"/>
      <c r="F724" s="114"/>
      <c r="G724" s="181"/>
      <c r="H724" s="183" t="str">
        <f t="shared" si="50"/>
        <v>FF</v>
      </c>
      <c r="I724" s="112"/>
    </row>
    <row r="725" spans="1:9">
      <c r="A725" s="195">
        <f t="shared" si="48"/>
        <v>710</v>
      </c>
      <c r="B725" s="116" t="str">
        <f t="shared" si="49"/>
        <v>2C6</v>
      </c>
      <c r="C725" s="50"/>
      <c r="D725" s="111"/>
      <c r="E725" s="113"/>
      <c r="F725" s="114"/>
      <c r="G725" s="181"/>
      <c r="H725" s="183" t="str">
        <f t="shared" si="50"/>
        <v>FF</v>
      </c>
      <c r="I725" s="112"/>
    </row>
    <row r="726" spans="1:9">
      <c r="A726" s="195">
        <f t="shared" si="48"/>
        <v>711</v>
      </c>
      <c r="B726" s="116" t="str">
        <f t="shared" si="49"/>
        <v>2C7</v>
      </c>
      <c r="C726" s="50"/>
      <c r="D726" s="111"/>
      <c r="E726" s="113"/>
      <c r="F726" s="114"/>
      <c r="G726" s="181"/>
      <c r="H726" s="183" t="str">
        <f t="shared" si="50"/>
        <v>FF</v>
      </c>
      <c r="I726" s="112"/>
    </row>
    <row r="727" spans="1:9">
      <c r="A727" s="195">
        <f t="shared" si="48"/>
        <v>712</v>
      </c>
      <c r="B727" s="116" t="str">
        <f t="shared" si="49"/>
        <v>2C8</v>
      </c>
      <c r="C727" s="50"/>
      <c r="D727" s="111"/>
      <c r="E727" s="113"/>
      <c r="F727" s="114"/>
      <c r="G727" s="181"/>
      <c r="H727" s="183" t="str">
        <f t="shared" si="50"/>
        <v>FF</v>
      </c>
      <c r="I727" s="112"/>
    </row>
    <row r="728" spans="1:9">
      <c r="A728" s="195">
        <f t="shared" si="48"/>
        <v>713</v>
      </c>
      <c r="B728" s="116" t="str">
        <f t="shared" si="49"/>
        <v>2C9</v>
      </c>
      <c r="C728" s="50"/>
      <c r="D728" s="111"/>
      <c r="E728" s="113"/>
      <c r="F728" s="114"/>
      <c r="G728" s="181"/>
      <c r="H728" s="183" t="str">
        <f t="shared" si="50"/>
        <v>FF</v>
      </c>
      <c r="I728" s="112"/>
    </row>
    <row r="729" spans="1:9">
      <c r="A729" s="195">
        <f t="shared" si="48"/>
        <v>714</v>
      </c>
      <c r="B729" s="116" t="str">
        <f t="shared" si="49"/>
        <v>2CA</v>
      </c>
      <c r="C729" s="50"/>
      <c r="D729" s="111"/>
      <c r="E729" s="113"/>
      <c r="F729" s="114"/>
      <c r="G729" s="181"/>
      <c r="H729" s="183" t="str">
        <f t="shared" si="50"/>
        <v>FF</v>
      </c>
      <c r="I729" s="112"/>
    </row>
    <row r="730" spans="1:9">
      <c r="A730" s="195">
        <f t="shared" si="48"/>
        <v>715</v>
      </c>
      <c r="B730" s="116" t="str">
        <f t="shared" si="49"/>
        <v>2CB</v>
      </c>
      <c r="C730" s="50"/>
      <c r="D730" s="111"/>
      <c r="E730" s="113"/>
      <c r="F730" s="114"/>
      <c r="G730" s="181"/>
      <c r="H730" s="183" t="str">
        <f t="shared" si="50"/>
        <v>FF</v>
      </c>
      <c r="I730" s="112"/>
    </row>
    <row r="731" spans="1:9">
      <c r="A731" s="195">
        <f t="shared" ref="A731:A794" si="51">A730+(ROW()-ROW(A730))</f>
        <v>716</v>
      </c>
      <c r="B731" s="116" t="str">
        <f t="shared" si="49"/>
        <v>2CC</v>
      </c>
      <c r="C731" s="50"/>
      <c r="D731" s="111"/>
      <c r="E731" s="113"/>
      <c r="F731" s="114"/>
      <c r="G731" s="181"/>
      <c r="H731" s="183" t="str">
        <f t="shared" si="50"/>
        <v>FF</v>
      </c>
      <c r="I731" s="112"/>
    </row>
    <row r="732" spans="1:9">
      <c r="A732" s="195">
        <f t="shared" si="51"/>
        <v>717</v>
      </c>
      <c r="B732" s="116" t="str">
        <f t="shared" si="49"/>
        <v>2CD</v>
      </c>
      <c r="C732" s="50"/>
      <c r="D732" s="111"/>
      <c r="E732" s="113"/>
      <c r="F732" s="114"/>
      <c r="G732" s="181"/>
      <c r="H732" s="183" t="str">
        <f t="shared" si="50"/>
        <v>FF</v>
      </c>
      <c r="I732" s="112"/>
    </row>
    <row r="733" spans="1:9">
      <c r="A733" s="195">
        <f t="shared" si="51"/>
        <v>718</v>
      </c>
      <c r="B733" s="116" t="str">
        <f t="shared" si="49"/>
        <v>2CE</v>
      </c>
      <c r="C733" s="50"/>
      <c r="D733" s="111"/>
      <c r="E733" s="113"/>
      <c r="F733" s="114"/>
      <c r="G733" s="181"/>
      <c r="H733" s="183" t="str">
        <f t="shared" si="50"/>
        <v>FF</v>
      </c>
      <c r="I733" s="112"/>
    </row>
    <row r="734" spans="1:9">
      <c r="A734" s="195">
        <f t="shared" si="51"/>
        <v>719</v>
      </c>
      <c r="B734" s="116" t="str">
        <f t="shared" si="49"/>
        <v>2CF</v>
      </c>
      <c r="C734" s="50"/>
      <c r="D734" s="111"/>
      <c r="E734" s="113"/>
      <c r="F734" s="114"/>
      <c r="G734" s="181"/>
      <c r="H734" s="183" t="str">
        <f t="shared" si="50"/>
        <v>FF</v>
      </c>
      <c r="I734" s="112"/>
    </row>
    <row r="735" spans="1:9">
      <c r="A735" s="195">
        <f t="shared" si="51"/>
        <v>720</v>
      </c>
      <c r="B735" s="116" t="str">
        <f t="shared" si="49"/>
        <v>2D0</v>
      </c>
      <c r="C735" s="50"/>
      <c r="D735" s="111"/>
      <c r="E735" s="113"/>
      <c r="F735" s="114"/>
      <c r="G735" s="181"/>
      <c r="H735" s="183" t="str">
        <f t="shared" si="50"/>
        <v>FF</v>
      </c>
      <c r="I735" s="112"/>
    </row>
    <row r="736" spans="1:9">
      <c r="A736" s="195">
        <f t="shared" si="51"/>
        <v>721</v>
      </c>
      <c r="B736" s="116" t="str">
        <f t="shared" si="49"/>
        <v>2D1</v>
      </c>
      <c r="C736" s="50"/>
      <c r="D736" s="111"/>
      <c r="E736" s="113"/>
      <c r="F736" s="114"/>
      <c r="G736" s="181"/>
      <c r="H736" s="183" t="str">
        <f t="shared" si="50"/>
        <v>FF</v>
      </c>
      <c r="I736" s="112"/>
    </row>
    <row r="737" spans="1:9">
      <c r="A737" s="195">
        <f t="shared" si="51"/>
        <v>722</v>
      </c>
      <c r="B737" s="116" t="str">
        <f t="shared" si="49"/>
        <v>2D2</v>
      </c>
      <c r="C737" s="50"/>
      <c r="D737" s="111"/>
      <c r="E737" s="113"/>
      <c r="F737" s="114"/>
      <c r="G737" s="181"/>
      <c r="H737" s="183" t="str">
        <f t="shared" si="50"/>
        <v>FF</v>
      </c>
      <c r="I737" s="112"/>
    </row>
    <row r="738" spans="1:9">
      <c r="A738" s="195">
        <f t="shared" si="51"/>
        <v>723</v>
      </c>
      <c r="B738" s="116" t="str">
        <f t="shared" si="49"/>
        <v>2D3</v>
      </c>
      <c r="C738" s="50"/>
      <c r="D738" s="111"/>
      <c r="E738" s="113"/>
      <c r="F738" s="114"/>
      <c r="G738" s="181"/>
      <c r="H738" s="183" t="str">
        <f t="shared" si="50"/>
        <v>FF</v>
      </c>
      <c r="I738" s="112"/>
    </row>
    <row r="739" spans="1:9">
      <c r="A739" s="195">
        <f t="shared" si="51"/>
        <v>724</v>
      </c>
      <c r="B739" s="116" t="str">
        <f t="shared" si="49"/>
        <v>2D4</v>
      </c>
      <c r="C739" s="50"/>
      <c r="D739" s="111"/>
      <c r="E739" s="113"/>
      <c r="F739" s="114"/>
      <c r="G739" s="181"/>
      <c r="H739" s="183" t="str">
        <f t="shared" si="50"/>
        <v>FF</v>
      </c>
      <c r="I739" s="112"/>
    </row>
    <row r="740" spans="1:9">
      <c r="A740" s="195">
        <f t="shared" si="51"/>
        <v>725</v>
      </c>
      <c r="B740" s="116" t="str">
        <f t="shared" si="49"/>
        <v>2D5</v>
      </c>
      <c r="C740" s="50"/>
      <c r="D740" s="111"/>
      <c r="E740" s="113"/>
      <c r="F740" s="114"/>
      <c r="G740" s="181"/>
      <c r="H740" s="183" t="str">
        <f t="shared" si="50"/>
        <v>FF</v>
      </c>
      <c r="I740" s="112"/>
    </row>
    <row r="741" spans="1:9">
      <c r="A741" s="195">
        <f t="shared" si="51"/>
        <v>726</v>
      </c>
      <c r="B741" s="116" t="str">
        <f t="shared" si="49"/>
        <v>2D6</v>
      </c>
      <c r="C741" s="50"/>
      <c r="D741" s="111"/>
      <c r="E741" s="113"/>
      <c r="F741" s="114"/>
      <c r="G741" s="181"/>
      <c r="H741" s="183" t="str">
        <f t="shared" si="50"/>
        <v>FF</v>
      </c>
      <c r="I741" s="112"/>
    </row>
    <row r="742" spans="1:9">
      <c r="A742" s="195">
        <f t="shared" si="51"/>
        <v>727</v>
      </c>
      <c r="B742" s="116" t="str">
        <f t="shared" si="49"/>
        <v>2D7</v>
      </c>
      <c r="C742" s="50"/>
      <c r="D742" s="111"/>
      <c r="E742" s="113"/>
      <c r="F742" s="114"/>
      <c r="G742" s="181"/>
      <c r="H742" s="183" t="str">
        <f t="shared" si="50"/>
        <v>FF</v>
      </c>
      <c r="I742" s="112"/>
    </row>
    <row r="743" spans="1:9">
      <c r="A743" s="195">
        <f t="shared" si="51"/>
        <v>728</v>
      </c>
      <c r="B743" s="116" t="str">
        <f t="shared" si="49"/>
        <v>2D8</v>
      </c>
      <c r="C743" s="50"/>
      <c r="D743" s="111"/>
      <c r="E743" s="113"/>
      <c r="F743" s="114"/>
      <c r="G743" s="181"/>
      <c r="H743" s="183" t="str">
        <f t="shared" si="50"/>
        <v>FF</v>
      </c>
      <c r="I743" s="112"/>
    </row>
    <row r="744" spans="1:9">
      <c r="A744" s="195">
        <f t="shared" si="51"/>
        <v>729</v>
      </c>
      <c r="B744" s="116" t="str">
        <f t="shared" si="49"/>
        <v>2D9</v>
      </c>
      <c r="C744" s="50"/>
      <c r="D744" s="111"/>
      <c r="E744" s="113"/>
      <c r="F744" s="114"/>
      <c r="G744" s="181"/>
      <c r="H744" s="183" t="str">
        <f t="shared" si="50"/>
        <v>FF</v>
      </c>
      <c r="I744" s="112"/>
    </row>
    <row r="745" spans="1:9">
      <c r="A745" s="195">
        <f t="shared" si="51"/>
        <v>730</v>
      </c>
      <c r="B745" s="116" t="str">
        <f t="shared" si="49"/>
        <v>2DA</v>
      </c>
      <c r="C745" s="50"/>
      <c r="D745" s="111"/>
      <c r="E745" s="113"/>
      <c r="F745" s="114"/>
      <c r="G745" s="181"/>
      <c r="H745" s="183" t="str">
        <f t="shared" si="50"/>
        <v>FF</v>
      </c>
      <c r="I745" s="112"/>
    </row>
    <row r="746" spans="1:9">
      <c r="A746" s="195">
        <f t="shared" si="51"/>
        <v>731</v>
      </c>
      <c r="B746" s="116" t="str">
        <f t="shared" si="49"/>
        <v>2DB</v>
      </c>
      <c r="C746" s="50"/>
      <c r="D746" s="111"/>
      <c r="E746" s="113"/>
      <c r="F746" s="114"/>
      <c r="G746" s="181"/>
      <c r="H746" s="183" t="str">
        <f t="shared" si="50"/>
        <v>FF</v>
      </c>
      <c r="I746" s="112"/>
    </row>
    <row r="747" spans="1:9">
      <c r="A747" s="195">
        <f t="shared" si="51"/>
        <v>732</v>
      </c>
      <c r="B747" s="116" t="str">
        <f t="shared" si="49"/>
        <v>2DC</v>
      </c>
      <c r="C747" s="50"/>
      <c r="D747" s="111"/>
      <c r="E747" s="113"/>
      <c r="F747" s="114"/>
      <c r="G747" s="181"/>
      <c r="H747" s="183" t="str">
        <f t="shared" si="50"/>
        <v>FF</v>
      </c>
      <c r="I747" s="112"/>
    </row>
    <row r="748" spans="1:9">
      <c r="A748" s="195">
        <f t="shared" si="51"/>
        <v>733</v>
      </c>
      <c r="B748" s="116" t="str">
        <f t="shared" si="49"/>
        <v>2DD</v>
      </c>
      <c r="C748" s="50"/>
      <c r="D748" s="111"/>
      <c r="E748" s="113"/>
      <c r="F748" s="114"/>
      <c r="G748" s="181"/>
      <c r="H748" s="183" t="str">
        <f t="shared" si="50"/>
        <v>FF</v>
      </c>
      <c r="I748" s="112"/>
    </row>
    <row r="749" spans="1:9">
      <c r="A749" s="195">
        <f t="shared" si="51"/>
        <v>734</v>
      </c>
      <c r="B749" s="116" t="str">
        <f t="shared" si="49"/>
        <v>2DE</v>
      </c>
      <c r="C749" s="50"/>
      <c r="D749" s="111"/>
      <c r="E749" s="113"/>
      <c r="F749" s="114"/>
      <c r="G749" s="181"/>
      <c r="H749" s="183" t="str">
        <f t="shared" si="50"/>
        <v>FF</v>
      </c>
      <c r="I749" s="112"/>
    </row>
    <row r="750" spans="1:9">
      <c r="A750" s="195">
        <f t="shared" si="51"/>
        <v>735</v>
      </c>
      <c r="B750" s="116" t="str">
        <f t="shared" si="49"/>
        <v>2DF</v>
      </c>
      <c r="C750" s="50"/>
      <c r="D750" s="111"/>
      <c r="E750" s="113"/>
      <c r="F750" s="114"/>
      <c r="G750" s="181"/>
      <c r="H750" s="183" t="str">
        <f t="shared" si="50"/>
        <v>FF</v>
      </c>
      <c r="I750" s="112"/>
    </row>
    <row r="751" spans="1:9">
      <c r="A751" s="195">
        <f t="shared" si="51"/>
        <v>736</v>
      </c>
      <c r="B751" s="116" t="str">
        <f t="shared" si="49"/>
        <v>2E0</v>
      </c>
      <c r="C751" s="50"/>
      <c r="D751" s="111"/>
      <c r="E751" s="113"/>
      <c r="F751" s="114"/>
      <c r="G751" s="181"/>
      <c r="H751" s="183" t="str">
        <f t="shared" si="50"/>
        <v>FF</v>
      </c>
      <c r="I751" s="112"/>
    </row>
    <row r="752" spans="1:9">
      <c r="A752" s="195">
        <f t="shared" si="51"/>
        <v>737</v>
      </c>
      <c r="B752" s="116" t="str">
        <f t="shared" si="49"/>
        <v>2E1</v>
      </c>
      <c r="C752" s="50"/>
      <c r="D752" s="111"/>
      <c r="E752" s="113"/>
      <c r="F752" s="114"/>
      <c r="G752" s="181"/>
      <c r="H752" s="183" t="str">
        <f t="shared" si="50"/>
        <v>FF</v>
      </c>
      <c r="I752" s="112"/>
    </row>
    <row r="753" spans="1:9">
      <c r="A753" s="195">
        <f t="shared" si="51"/>
        <v>738</v>
      </c>
      <c r="B753" s="116" t="str">
        <f t="shared" si="49"/>
        <v>2E2</v>
      </c>
      <c r="C753" s="50"/>
      <c r="D753" s="111"/>
      <c r="E753" s="113"/>
      <c r="F753" s="114"/>
      <c r="G753" s="181"/>
      <c r="H753" s="183" t="str">
        <f t="shared" si="50"/>
        <v>FF</v>
      </c>
      <c r="I753" s="112"/>
    </row>
    <row r="754" spans="1:9">
      <c r="A754" s="195">
        <f t="shared" si="51"/>
        <v>739</v>
      </c>
      <c r="B754" s="116" t="str">
        <f t="shared" si="49"/>
        <v>2E3</v>
      </c>
      <c r="C754" s="50"/>
      <c r="D754" s="111"/>
      <c r="E754" s="113"/>
      <c r="F754" s="114"/>
      <c r="G754" s="181"/>
      <c r="H754" s="183" t="str">
        <f t="shared" si="50"/>
        <v>FF</v>
      </c>
      <c r="I754" s="112"/>
    </row>
    <row r="755" spans="1:9">
      <c r="A755" s="195">
        <f t="shared" si="51"/>
        <v>740</v>
      </c>
      <c r="B755" s="116" t="str">
        <f t="shared" si="49"/>
        <v>2E4</v>
      </c>
      <c r="C755" s="50"/>
      <c r="D755" s="111"/>
      <c r="E755" s="113"/>
      <c r="F755" s="114"/>
      <c r="G755" s="181"/>
      <c r="H755" s="183" t="str">
        <f t="shared" si="50"/>
        <v>FF</v>
      </c>
      <c r="I755" s="112"/>
    </row>
    <row r="756" spans="1:9">
      <c r="A756" s="195">
        <f t="shared" si="51"/>
        <v>741</v>
      </c>
      <c r="B756" s="116" t="str">
        <f t="shared" si="49"/>
        <v>2E5</v>
      </c>
      <c r="C756" s="50"/>
      <c r="D756" s="111"/>
      <c r="E756" s="113"/>
      <c r="F756" s="114"/>
      <c r="G756" s="181"/>
      <c r="H756" s="183" t="str">
        <f t="shared" si="50"/>
        <v>FF</v>
      </c>
      <c r="I756" s="112"/>
    </row>
    <row r="757" spans="1:9">
      <c r="A757" s="195">
        <f t="shared" si="51"/>
        <v>742</v>
      </c>
      <c r="B757" s="116" t="str">
        <f t="shared" si="49"/>
        <v>2E6</v>
      </c>
      <c r="C757" s="50"/>
      <c r="D757" s="111"/>
      <c r="E757" s="113"/>
      <c r="F757" s="114"/>
      <c r="G757" s="181"/>
      <c r="H757" s="183" t="str">
        <f t="shared" si="50"/>
        <v>FF</v>
      </c>
      <c r="I757" s="112"/>
    </row>
    <row r="758" spans="1:9">
      <c r="A758" s="195">
        <f t="shared" si="51"/>
        <v>743</v>
      </c>
      <c r="B758" s="116" t="str">
        <f t="shared" ref="B758:B821" si="52">DEC2HEX(A758,3)</f>
        <v>2E7</v>
      </c>
      <c r="C758" s="50"/>
      <c r="D758" s="111"/>
      <c r="E758" s="113"/>
      <c r="F758" s="114"/>
      <c r="G758" s="181"/>
      <c r="H758" s="183" t="str">
        <f t="shared" si="50"/>
        <v>FF</v>
      </c>
      <c r="I758" s="112"/>
    </row>
    <row r="759" spans="1:9">
      <c r="A759" s="195">
        <f t="shared" si="51"/>
        <v>744</v>
      </c>
      <c r="B759" s="116" t="str">
        <f t="shared" si="52"/>
        <v>2E8</v>
      </c>
      <c r="C759" s="50"/>
      <c r="D759" s="111"/>
      <c r="E759" s="113"/>
      <c r="F759" s="114"/>
      <c r="G759" s="181"/>
      <c r="H759" s="183" t="str">
        <f t="shared" si="50"/>
        <v>FF</v>
      </c>
      <c r="I759" s="112"/>
    </row>
    <row r="760" spans="1:9">
      <c r="A760" s="195">
        <f t="shared" si="51"/>
        <v>745</v>
      </c>
      <c r="B760" s="116" t="str">
        <f t="shared" si="52"/>
        <v>2E9</v>
      </c>
      <c r="C760" s="50"/>
      <c r="D760" s="111"/>
      <c r="E760" s="113"/>
      <c r="F760" s="114"/>
      <c r="G760" s="181"/>
      <c r="H760" s="183" t="str">
        <f t="shared" si="50"/>
        <v>FF</v>
      </c>
      <c r="I760" s="112"/>
    </row>
    <row r="761" spans="1:9">
      <c r="A761" s="195">
        <f t="shared" si="51"/>
        <v>746</v>
      </c>
      <c r="B761" s="116" t="str">
        <f t="shared" si="52"/>
        <v>2EA</v>
      </c>
      <c r="C761" s="50"/>
      <c r="D761" s="111"/>
      <c r="E761" s="113"/>
      <c r="F761" s="114"/>
      <c r="G761" s="181"/>
      <c r="H761" s="183" t="str">
        <f t="shared" si="50"/>
        <v>FF</v>
      </c>
      <c r="I761" s="112"/>
    </row>
    <row r="762" spans="1:9">
      <c r="A762" s="195">
        <f t="shared" si="51"/>
        <v>747</v>
      </c>
      <c r="B762" s="116" t="str">
        <f t="shared" si="52"/>
        <v>2EB</v>
      </c>
      <c r="C762" s="50"/>
      <c r="D762" s="111"/>
      <c r="E762" s="113"/>
      <c r="F762" s="114"/>
      <c r="G762" s="181"/>
      <c r="H762" s="183" t="str">
        <f t="shared" si="50"/>
        <v>FF</v>
      </c>
      <c r="I762" s="112"/>
    </row>
    <row r="763" spans="1:9">
      <c r="A763" s="195">
        <f t="shared" si="51"/>
        <v>748</v>
      </c>
      <c r="B763" s="116" t="str">
        <f t="shared" si="52"/>
        <v>2EC</v>
      </c>
      <c r="C763" s="50"/>
      <c r="D763" s="111"/>
      <c r="E763" s="113"/>
      <c r="F763" s="114"/>
      <c r="G763" s="181"/>
      <c r="H763" s="183" t="str">
        <f t="shared" si="50"/>
        <v>FF</v>
      </c>
      <c r="I763" s="112"/>
    </row>
    <row r="764" spans="1:9">
      <c r="A764" s="195">
        <f t="shared" si="51"/>
        <v>749</v>
      </c>
      <c r="B764" s="116" t="str">
        <f t="shared" si="52"/>
        <v>2ED</v>
      </c>
      <c r="C764" s="50"/>
      <c r="D764" s="111"/>
      <c r="E764" s="113"/>
      <c r="F764" s="114"/>
      <c r="G764" s="181"/>
      <c r="H764" s="183" t="str">
        <f t="shared" si="50"/>
        <v>FF</v>
      </c>
      <c r="I764" s="112"/>
    </row>
    <row r="765" spans="1:9">
      <c r="A765" s="195">
        <f t="shared" si="51"/>
        <v>750</v>
      </c>
      <c r="B765" s="116" t="str">
        <f t="shared" si="52"/>
        <v>2EE</v>
      </c>
      <c r="C765" s="50"/>
      <c r="D765" s="111"/>
      <c r="E765" s="113"/>
      <c r="F765" s="114"/>
      <c r="G765" s="181"/>
      <c r="H765" s="183" t="str">
        <f t="shared" si="50"/>
        <v>FF</v>
      </c>
      <c r="I765" s="112"/>
    </row>
    <row r="766" spans="1:9">
      <c r="A766" s="195">
        <f t="shared" si="51"/>
        <v>751</v>
      </c>
      <c r="B766" s="116" t="str">
        <f t="shared" si="52"/>
        <v>2EF</v>
      </c>
      <c r="C766" s="50"/>
      <c r="D766" s="111"/>
      <c r="E766" s="113"/>
      <c r="F766" s="114"/>
      <c r="G766" s="181"/>
      <c r="H766" s="183" t="str">
        <f t="shared" si="50"/>
        <v>FF</v>
      </c>
      <c r="I766" s="112"/>
    </row>
    <row r="767" spans="1:9">
      <c r="A767" s="195">
        <f t="shared" si="51"/>
        <v>752</v>
      </c>
      <c r="B767" s="116" t="str">
        <f t="shared" si="52"/>
        <v>2F0</v>
      </c>
      <c r="C767" s="50"/>
      <c r="D767" s="111"/>
      <c r="E767" s="113"/>
      <c r="F767" s="114"/>
      <c r="G767" s="181"/>
      <c r="H767" s="183" t="str">
        <f t="shared" si="50"/>
        <v>FF</v>
      </c>
      <c r="I767" s="112"/>
    </row>
    <row r="768" spans="1:9">
      <c r="A768" s="195">
        <f t="shared" si="51"/>
        <v>753</v>
      </c>
      <c r="B768" s="116" t="str">
        <f t="shared" si="52"/>
        <v>2F1</v>
      </c>
      <c r="C768" s="50"/>
      <c r="D768" s="111"/>
      <c r="E768" s="113"/>
      <c r="F768" s="114"/>
      <c r="G768" s="181"/>
      <c r="H768" s="183" t="str">
        <f t="shared" si="50"/>
        <v>FF</v>
      </c>
      <c r="I768" s="112"/>
    </row>
    <row r="769" spans="1:9">
      <c r="A769" s="195">
        <f t="shared" si="51"/>
        <v>754</v>
      </c>
      <c r="B769" s="116" t="str">
        <f t="shared" si="52"/>
        <v>2F2</v>
      </c>
      <c r="C769" s="50"/>
      <c r="D769" s="111"/>
      <c r="E769" s="113"/>
      <c r="F769" s="114"/>
      <c r="G769" s="181"/>
      <c r="H769" s="183" t="str">
        <f t="shared" si="50"/>
        <v>FF</v>
      </c>
      <c r="I769" s="112"/>
    </row>
    <row r="770" spans="1:9">
      <c r="A770" s="195">
        <f t="shared" si="51"/>
        <v>755</v>
      </c>
      <c r="B770" s="116" t="str">
        <f t="shared" si="52"/>
        <v>2F3</v>
      </c>
      <c r="C770" s="50"/>
      <c r="D770" s="111"/>
      <c r="E770" s="113"/>
      <c r="F770" s="114"/>
      <c r="G770" s="181"/>
      <c r="H770" s="183" t="str">
        <f t="shared" si="50"/>
        <v>FF</v>
      </c>
      <c r="I770" s="112"/>
    </row>
    <row r="771" spans="1:9">
      <c r="A771" s="195">
        <f t="shared" si="51"/>
        <v>756</v>
      </c>
      <c r="B771" s="116" t="str">
        <f t="shared" si="52"/>
        <v>2F4</v>
      </c>
      <c r="C771" s="50"/>
      <c r="D771" s="111"/>
      <c r="E771" s="113"/>
      <c r="F771" s="114"/>
      <c r="G771" s="181"/>
      <c r="H771" s="183" t="str">
        <f t="shared" si="50"/>
        <v>FF</v>
      </c>
      <c r="I771" s="112"/>
    </row>
    <row r="772" spans="1:9">
      <c r="A772" s="195">
        <f t="shared" si="51"/>
        <v>757</v>
      </c>
      <c r="B772" s="116" t="str">
        <f t="shared" si="52"/>
        <v>2F5</v>
      </c>
      <c r="C772" s="50"/>
      <c r="D772" s="111"/>
      <c r="E772" s="113"/>
      <c r="F772" s="114"/>
      <c r="G772" s="181"/>
      <c r="H772" s="183" t="str">
        <f t="shared" si="50"/>
        <v>FF</v>
      </c>
      <c r="I772" s="112"/>
    </row>
    <row r="773" spans="1:9">
      <c r="A773" s="195">
        <f t="shared" si="51"/>
        <v>758</v>
      </c>
      <c r="B773" s="116" t="str">
        <f t="shared" si="52"/>
        <v>2F6</v>
      </c>
      <c r="C773" s="50"/>
      <c r="D773" s="111"/>
      <c r="E773" s="113"/>
      <c r="F773" s="114"/>
      <c r="G773" s="181"/>
      <c r="H773" s="183" t="str">
        <f t="shared" si="50"/>
        <v>FF</v>
      </c>
      <c r="I773" s="112"/>
    </row>
    <row r="774" spans="1:9">
      <c r="A774" s="195">
        <f t="shared" si="51"/>
        <v>759</v>
      </c>
      <c r="B774" s="116" t="str">
        <f t="shared" si="52"/>
        <v>2F7</v>
      </c>
      <c r="C774" s="50"/>
      <c r="D774" s="111"/>
      <c r="E774" s="113"/>
      <c r="F774" s="114"/>
      <c r="G774" s="181"/>
      <c r="H774" s="183" t="str">
        <f t="shared" si="50"/>
        <v>FF</v>
      </c>
      <c r="I774" s="112"/>
    </row>
    <row r="775" spans="1:9">
      <c r="A775" s="195">
        <f t="shared" si="51"/>
        <v>760</v>
      </c>
      <c r="B775" s="116" t="str">
        <f t="shared" si="52"/>
        <v>2F8</v>
      </c>
      <c r="C775" s="50"/>
      <c r="D775" s="111"/>
      <c r="E775" s="113"/>
      <c r="F775" s="114"/>
      <c r="G775" s="181"/>
      <c r="H775" s="183" t="str">
        <f t="shared" si="50"/>
        <v>FF</v>
      </c>
      <c r="I775" s="112"/>
    </row>
    <row r="776" spans="1:9">
      <c r="A776" s="195">
        <f t="shared" si="51"/>
        <v>761</v>
      </c>
      <c r="B776" s="116" t="str">
        <f t="shared" si="52"/>
        <v>2F9</v>
      </c>
      <c r="C776" s="50"/>
      <c r="D776" s="111"/>
      <c r="E776" s="113"/>
      <c r="F776" s="114"/>
      <c r="G776" s="181"/>
      <c r="H776" s="183" t="str">
        <f t="shared" ref="H776:H839" si="53">Fill</f>
        <v>FF</v>
      </c>
      <c r="I776" s="112"/>
    </row>
    <row r="777" spans="1:9">
      <c r="A777" s="195">
        <f t="shared" si="51"/>
        <v>762</v>
      </c>
      <c r="B777" s="116" t="str">
        <f t="shared" si="52"/>
        <v>2FA</v>
      </c>
      <c r="C777" s="50"/>
      <c r="D777" s="111"/>
      <c r="E777" s="113"/>
      <c r="F777" s="114"/>
      <c r="G777" s="181"/>
      <c r="H777" s="183" t="str">
        <f t="shared" si="53"/>
        <v>FF</v>
      </c>
      <c r="I777" s="112"/>
    </row>
    <row r="778" spans="1:9">
      <c r="A778" s="195">
        <f t="shared" si="51"/>
        <v>763</v>
      </c>
      <c r="B778" s="116" t="str">
        <f t="shared" si="52"/>
        <v>2FB</v>
      </c>
      <c r="C778" s="50"/>
      <c r="D778" s="111"/>
      <c r="E778" s="113"/>
      <c r="F778" s="114"/>
      <c r="G778" s="181"/>
      <c r="H778" s="183" t="str">
        <f t="shared" si="53"/>
        <v>FF</v>
      </c>
      <c r="I778" s="112"/>
    </row>
    <row r="779" spans="1:9">
      <c r="A779" s="195">
        <f t="shared" si="51"/>
        <v>764</v>
      </c>
      <c r="B779" s="116" t="str">
        <f t="shared" si="52"/>
        <v>2FC</v>
      </c>
      <c r="C779" s="50"/>
      <c r="D779" s="111"/>
      <c r="E779" s="113"/>
      <c r="F779" s="114"/>
      <c r="G779" s="181"/>
      <c r="H779" s="183" t="str">
        <f t="shared" si="53"/>
        <v>FF</v>
      </c>
      <c r="I779" s="112"/>
    </row>
    <row r="780" spans="1:9">
      <c r="A780" s="195">
        <f t="shared" si="51"/>
        <v>765</v>
      </c>
      <c r="B780" s="116" t="str">
        <f t="shared" si="52"/>
        <v>2FD</v>
      </c>
      <c r="C780" s="50"/>
      <c r="D780" s="111"/>
      <c r="E780" s="113"/>
      <c r="F780" s="114"/>
      <c r="G780" s="181"/>
      <c r="H780" s="183" t="str">
        <f t="shared" si="53"/>
        <v>FF</v>
      </c>
      <c r="I780" s="112"/>
    </row>
    <row r="781" spans="1:9">
      <c r="A781" s="195">
        <f t="shared" si="51"/>
        <v>766</v>
      </c>
      <c r="B781" s="116" t="str">
        <f t="shared" si="52"/>
        <v>2FE</v>
      </c>
      <c r="C781" s="50"/>
      <c r="D781" s="111"/>
      <c r="E781" s="113"/>
      <c r="F781" s="114"/>
      <c r="G781" s="181"/>
      <c r="H781" s="183" t="str">
        <f t="shared" si="53"/>
        <v>FF</v>
      </c>
      <c r="I781" s="112"/>
    </row>
    <row r="782" spans="1:9">
      <c r="A782" s="195">
        <f t="shared" si="51"/>
        <v>767</v>
      </c>
      <c r="B782" s="116" t="str">
        <f t="shared" si="52"/>
        <v>2FF</v>
      </c>
      <c r="C782" s="50"/>
      <c r="D782" s="111"/>
      <c r="E782" s="113"/>
      <c r="F782" s="114"/>
      <c r="G782" s="181"/>
      <c r="H782" s="183" t="str">
        <f t="shared" si="53"/>
        <v>FF</v>
      </c>
      <c r="I782" s="112"/>
    </row>
    <row r="783" spans="1:9">
      <c r="A783" s="195">
        <f t="shared" si="51"/>
        <v>768</v>
      </c>
      <c r="B783" s="116" t="str">
        <f t="shared" si="52"/>
        <v>300</v>
      </c>
      <c r="C783" s="50"/>
      <c r="D783" s="111"/>
      <c r="E783" s="113"/>
      <c r="F783" s="114"/>
      <c r="G783" s="181"/>
      <c r="H783" s="183" t="str">
        <f t="shared" si="53"/>
        <v>FF</v>
      </c>
      <c r="I783" s="112"/>
    </row>
    <row r="784" spans="1:9">
      <c r="A784" s="195">
        <f t="shared" si="51"/>
        <v>769</v>
      </c>
      <c r="B784" s="116" t="str">
        <f t="shared" si="52"/>
        <v>301</v>
      </c>
      <c r="C784" s="50"/>
      <c r="D784" s="111"/>
      <c r="E784" s="113"/>
      <c r="F784" s="114"/>
      <c r="G784" s="181"/>
      <c r="H784" s="183" t="str">
        <f t="shared" si="53"/>
        <v>FF</v>
      </c>
      <c r="I784" s="112"/>
    </row>
    <row r="785" spans="1:9">
      <c r="A785" s="195">
        <f t="shared" si="51"/>
        <v>770</v>
      </c>
      <c r="B785" s="116" t="str">
        <f t="shared" si="52"/>
        <v>302</v>
      </c>
      <c r="C785" s="50"/>
      <c r="D785" s="111"/>
      <c r="E785" s="113"/>
      <c r="F785" s="114"/>
      <c r="G785" s="181"/>
      <c r="H785" s="183" t="str">
        <f t="shared" si="53"/>
        <v>FF</v>
      </c>
      <c r="I785" s="112"/>
    </row>
    <row r="786" spans="1:9">
      <c r="A786" s="195">
        <f t="shared" si="51"/>
        <v>771</v>
      </c>
      <c r="B786" s="116" t="str">
        <f t="shared" si="52"/>
        <v>303</v>
      </c>
      <c r="C786" s="50"/>
      <c r="D786" s="111"/>
      <c r="E786" s="113"/>
      <c r="F786" s="114"/>
      <c r="G786" s="181"/>
      <c r="H786" s="183" t="str">
        <f t="shared" si="53"/>
        <v>FF</v>
      </c>
      <c r="I786" s="112"/>
    </row>
    <row r="787" spans="1:9">
      <c r="A787" s="195">
        <f t="shared" si="51"/>
        <v>772</v>
      </c>
      <c r="B787" s="116" t="str">
        <f t="shared" si="52"/>
        <v>304</v>
      </c>
      <c r="C787" s="50"/>
      <c r="D787" s="111"/>
      <c r="E787" s="113"/>
      <c r="F787" s="114"/>
      <c r="G787" s="181"/>
      <c r="H787" s="183" t="str">
        <f t="shared" si="53"/>
        <v>FF</v>
      </c>
      <c r="I787" s="112"/>
    </row>
    <row r="788" spans="1:9">
      <c r="A788" s="195">
        <f t="shared" si="51"/>
        <v>773</v>
      </c>
      <c r="B788" s="116" t="str">
        <f t="shared" si="52"/>
        <v>305</v>
      </c>
      <c r="C788" s="50"/>
      <c r="D788" s="111"/>
      <c r="E788" s="113"/>
      <c r="F788" s="114"/>
      <c r="G788" s="181"/>
      <c r="H788" s="183" t="str">
        <f t="shared" si="53"/>
        <v>FF</v>
      </c>
      <c r="I788" s="112"/>
    </row>
    <row r="789" spans="1:9">
      <c r="A789" s="195">
        <f t="shared" si="51"/>
        <v>774</v>
      </c>
      <c r="B789" s="116" t="str">
        <f t="shared" si="52"/>
        <v>306</v>
      </c>
      <c r="C789" s="50"/>
      <c r="D789" s="111"/>
      <c r="E789" s="113"/>
      <c r="F789" s="114"/>
      <c r="G789" s="181"/>
      <c r="H789" s="183" t="str">
        <f t="shared" si="53"/>
        <v>FF</v>
      </c>
      <c r="I789" s="112"/>
    </row>
    <row r="790" spans="1:9">
      <c r="A790" s="195">
        <f t="shared" si="51"/>
        <v>775</v>
      </c>
      <c r="B790" s="116" t="str">
        <f t="shared" si="52"/>
        <v>307</v>
      </c>
      <c r="C790" s="50"/>
      <c r="D790" s="111"/>
      <c r="E790" s="113"/>
      <c r="F790" s="114"/>
      <c r="G790" s="181"/>
      <c r="H790" s="183" t="str">
        <f t="shared" si="53"/>
        <v>FF</v>
      </c>
      <c r="I790" s="112"/>
    </row>
    <row r="791" spans="1:9">
      <c r="A791" s="195">
        <f t="shared" si="51"/>
        <v>776</v>
      </c>
      <c r="B791" s="116" t="str">
        <f t="shared" si="52"/>
        <v>308</v>
      </c>
      <c r="C791" s="50"/>
      <c r="D791" s="111"/>
      <c r="E791" s="113"/>
      <c r="F791" s="114"/>
      <c r="G791" s="181"/>
      <c r="H791" s="183" t="str">
        <f t="shared" si="53"/>
        <v>FF</v>
      </c>
      <c r="I791" s="112"/>
    </row>
    <row r="792" spans="1:9">
      <c r="A792" s="195">
        <f t="shared" si="51"/>
        <v>777</v>
      </c>
      <c r="B792" s="116" t="str">
        <f t="shared" si="52"/>
        <v>309</v>
      </c>
      <c r="C792" s="50"/>
      <c r="D792" s="111"/>
      <c r="E792" s="113"/>
      <c r="F792" s="114"/>
      <c r="G792" s="181"/>
      <c r="H792" s="183" t="str">
        <f t="shared" si="53"/>
        <v>FF</v>
      </c>
      <c r="I792" s="112"/>
    </row>
    <row r="793" spans="1:9">
      <c r="A793" s="195">
        <f t="shared" si="51"/>
        <v>778</v>
      </c>
      <c r="B793" s="116" t="str">
        <f t="shared" si="52"/>
        <v>30A</v>
      </c>
      <c r="C793" s="50"/>
      <c r="D793" s="111"/>
      <c r="E793" s="113"/>
      <c r="F793" s="114"/>
      <c r="G793" s="181"/>
      <c r="H793" s="183" t="str">
        <f t="shared" si="53"/>
        <v>FF</v>
      </c>
      <c r="I793" s="112"/>
    </row>
    <row r="794" spans="1:9">
      <c r="A794" s="195">
        <f t="shared" si="51"/>
        <v>779</v>
      </c>
      <c r="B794" s="116" t="str">
        <f t="shared" si="52"/>
        <v>30B</v>
      </c>
      <c r="C794" s="50"/>
      <c r="D794" s="111"/>
      <c r="E794" s="113"/>
      <c r="F794" s="114"/>
      <c r="G794" s="181"/>
      <c r="H794" s="183" t="str">
        <f t="shared" si="53"/>
        <v>FF</v>
      </c>
      <c r="I794" s="112"/>
    </row>
    <row r="795" spans="1:9">
      <c r="A795" s="195">
        <f t="shared" ref="A795:A858" si="54">A794+(ROW()-ROW(A794))</f>
        <v>780</v>
      </c>
      <c r="B795" s="116" t="str">
        <f t="shared" si="52"/>
        <v>30C</v>
      </c>
      <c r="C795" s="50"/>
      <c r="D795" s="111"/>
      <c r="E795" s="113"/>
      <c r="F795" s="114"/>
      <c r="G795" s="181"/>
      <c r="H795" s="183" t="str">
        <f t="shared" si="53"/>
        <v>FF</v>
      </c>
      <c r="I795" s="112"/>
    </row>
    <row r="796" spans="1:9">
      <c r="A796" s="195">
        <f t="shared" si="54"/>
        <v>781</v>
      </c>
      <c r="B796" s="116" t="str">
        <f t="shared" si="52"/>
        <v>30D</v>
      </c>
      <c r="C796" s="50"/>
      <c r="D796" s="111"/>
      <c r="E796" s="113"/>
      <c r="F796" s="114"/>
      <c r="G796" s="181"/>
      <c r="H796" s="183" t="str">
        <f t="shared" si="53"/>
        <v>FF</v>
      </c>
      <c r="I796" s="112"/>
    </row>
    <row r="797" spans="1:9">
      <c r="A797" s="195">
        <f t="shared" si="54"/>
        <v>782</v>
      </c>
      <c r="B797" s="116" t="str">
        <f t="shared" si="52"/>
        <v>30E</v>
      </c>
      <c r="C797" s="50"/>
      <c r="D797" s="111"/>
      <c r="E797" s="113"/>
      <c r="F797" s="114"/>
      <c r="G797" s="181"/>
      <c r="H797" s="183" t="str">
        <f t="shared" si="53"/>
        <v>FF</v>
      </c>
      <c r="I797" s="112"/>
    </row>
    <row r="798" spans="1:9">
      <c r="A798" s="195">
        <f t="shared" si="54"/>
        <v>783</v>
      </c>
      <c r="B798" s="116" t="str">
        <f t="shared" si="52"/>
        <v>30F</v>
      </c>
      <c r="C798" s="50"/>
      <c r="D798" s="111"/>
      <c r="E798" s="113"/>
      <c r="F798" s="114"/>
      <c r="G798" s="181"/>
      <c r="H798" s="183" t="str">
        <f t="shared" si="53"/>
        <v>FF</v>
      </c>
      <c r="I798" s="112"/>
    </row>
    <row r="799" spans="1:9">
      <c r="A799" s="195">
        <f t="shared" si="54"/>
        <v>784</v>
      </c>
      <c r="B799" s="116" t="str">
        <f t="shared" si="52"/>
        <v>310</v>
      </c>
      <c r="C799" s="50"/>
      <c r="D799" s="111"/>
      <c r="E799" s="113"/>
      <c r="F799" s="114"/>
      <c r="G799" s="181"/>
      <c r="H799" s="183" t="str">
        <f t="shared" si="53"/>
        <v>FF</v>
      </c>
      <c r="I799" s="112"/>
    </row>
    <row r="800" spans="1:9">
      <c r="A800" s="195">
        <f t="shared" si="54"/>
        <v>785</v>
      </c>
      <c r="B800" s="116" t="str">
        <f t="shared" si="52"/>
        <v>311</v>
      </c>
      <c r="C800" s="50"/>
      <c r="D800" s="111"/>
      <c r="E800" s="113"/>
      <c r="F800" s="114"/>
      <c r="G800" s="181"/>
      <c r="H800" s="183" t="str">
        <f t="shared" si="53"/>
        <v>FF</v>
      </c>
      <c r="I800" s="112"/>
    </row>
    <row r="801" spans="1:9">
      <c r="A801" s="195">
        <f t="shared" si="54"/>
        <v>786</v>
      </c>
      <c r="B801" s="116" t="str">
        <f t="shared" si="52"/>
        <v>312</v>
      </c>
      <c r="C801" s="50"/>
      <c r="D801" s="111"/>
      <c r="E801" s="113"/>
      <c r="F801" s="114"/>
      <c r="G801" s="181"/>
      <c r="H801" s="183" t="str">
        <f t="shared" si="53"/>
        <v>FF</v>
      </c>
      <c r="I801" s="112"/>
    </row>
    <row r="802" spans="1:9">
      <c r="A802" s="195">
        <f t="shared" si="54"/>
        <v>787</v>
      </c>
      <c r="B802" s="116" t="str">
        <f t="shared" si="52"/>
        <v>313</v>
      </c>
      <c r="C802" s="50"/>
      <c r="D802" s="111"/>
      <c r="E802" s="113"/>
      <c r="F802" s="114"/>
      <c r="G802" s="181"/>
      <c r="H802" s="183" t="str">
        <f t="shared" si="53"/>
        <v>FF</v>
      </c>
      <c r="I802" s="112"/>
    </row>
    <row r="803" spans="1:9">
      <c r="A803" s="195">
        <f t="shared" si="54"/>
        <v>788</v>
      </c>
      <c r="B803" s="116" t="str">
        <f t="shared" si="52"/>
        <v>314</v>
      </c>
      <c r="C803" s="50"/>
      <c r="D803" s="111"/>
      <c r="E803" s="113"/>
      <c r="F803" s="114"/>
      <c r="G803" s="181"/>
      <c r="H803" s="183" t="str">
        <f t="shared" si="53"/>
        <v>FF</v>
      </c>
      <c r="I803" s="112"/>
    </row>
    <row r="804" spans="1:9">
      <c r="A804" s="195">
        <f t="shared" si="54"/>
        <v>789</v>
      </c>
      <c r="B804" s="116" t="str">
        <f t="shared" si="52"/>
        <v>315</v>
      </c>
      <c r="C804" s="50"/>
      <c r="D804" s="111"/>
      <c r="E804" s="113"/>
      <c r="F804" s="114"/>
      <c r="G804" s="181"/>
      <c r="H804" s="183" t="str">
        <f t="shared" si="53"/>
        <v>FF</v>
      </c>
      <c r="I804" s="112"/>
    </row>
    <row r="805" spans="1:9">
      <c r="A805" s="195">
        <f t="shared" si="54"/>
        <v>790</v>
      </c>
      <c r="B805" s="116" t="str">
        <f t="shared" si="52"/>
        <v>316</v>
      </c>
      <c r="C805" s="50"/>
      <c r="D805" s="111"/>
      <c r="E805" s="113"/>
      <c r="F805" s="114"/>
      <c r="G805" s="181"/>
      <c r="H805" s="183" t="str">
        <f t="shared" si="53"/>
        <v>FF</v>
      </c>
      <c r="I805" s="112"/>
    </row>
    <row r="806" spans="1:9">
      <c r="A806" s="195">
        <f t="shared" si="54"/>
        <v>791</v>
      </c>
      <c r="B806" s="116" t="str">
        <f t="shared" si="52"/>
        <v>317</v>
      </c>
      <c r="C806" s="50"/>
      <c r="D806" s="111"/>
      <c r="E806" s="113"/>
      <c r="F806" s="114"/>
      <c r="G806" s="181"/>
      <c r="H806" s="183" t="str">
        <f t="shared" si="53"/>
        <v>FF</v>
      </c>
      <c r="I806" s="112"/>
    </row>
    <row r="807" spans="1:9">
      <c r="A807" s="195">
        <f t="shared" si="54"/>
        <v>792</v>
      </c>
      <c r="B807" s="116" t="str">
        <f t="shared" si="52"/>
        <v>318</v>
      </c>
      <c r="C807" s="50"/>
      <c r="D807" s="111"/>
      <c r="E807" s="113"/>
      <c r="F807" s="114"/>
      <c r="G807" s="181"/>
      <c r="H807" s="183" t="str">
        <f t="shared" si="53"/>
        <v>FF</v>
      </c>
      <c r="I807" s="112"/>
    </row>
    <row r="808" spans="1:9">
      <c r="A808" s="195">
        <f t="shared" si="54"/>
        <v>793</v>
      </c>
      <c r="B808" s="116" t="str">
        <f t="shared" si="52"/>
        <v>319</v>
      </c>
      <c r="C808" s="50"/>
      <c r="D808" s="111"/>
      <c r="E808" s="113"/>
      <c r="F808" s="114"/>
      <c r="G808" s="181"/>
      <c r="H808" s="183" t="str">
        <f t="shared" si="53"/>
        <v>FF</v>
      </c>
      <c r="I808" s="112"/>
    </row>
    <row r="809" spans="1:9">
      <c r="A809" s="195">
        <f t="shared" si="54"/>
        <v>794</v>
      </c>
      <c r="B809" s="116" t="str">
        <f t="shared" si="52"/>
        <v>31A</v>
      </c>
      <c r="C809" s="50"/>
      <c r="D809" s="111"/>
      <c r="E809" s="113"/>
      <c r="F809" s="114"/>
      <c r="G809" s="181"/>
      <c r="H809" s="183" t="str">
        <f t="shared" si="53"/>
        <v>FF</v>
      </c>
      <c r="I809" s="112"/>
    </row>
    <row r="810" spans="1:9">
      <c r="A810" s="195">
        <f t="shared" si="54"/>
        <v>795</v>
      </c>
      <c r="B810" s="116" t="str">
        <f t="shared" si="52"/>
        <v>31B</v>
      </c>
      <c r="C810" s="50"/>
      <c r="D810" s="111"/>
      <c r="E810" s="113"/>
      <c r="F810" s="114"/>
      <c r="G810" s="181"/>
      <c r="H810" s="183" t="str">
        <f t="shared" si="53"/>
        <v>FF</v>
      </c>
      <c r="I810" s="112"/>
    </row>
    <row r="811" spans="1:9">
      <c r="A811" s="195">
        <f t="shared" si="54"/>
        <v>796</v>
      </c>
      <c r="B811" s="116" t="str">
        <f t="shared" si="52"/>
        <v>31C</v>
      </c>
      <c r="C811" s="50"/>
      <c r="D811" s="111"/>
      <c r="E811" s="113"/>
      <c r="F811" s="114"/>
      <c r="G811" s="181"/>
      <c r="H811" s="183" t="str">
        <f t="shared" si="53"/>
        <v>FF</v>
      </c>
      <c r="I811" s="112"/>
    </row>
    <row r="812" spans="1:9">
      <c r="A812" s="195">
        <f t="shared" si="54"/>
        <v>797</v>
      </c>
      <c r="B812" s="116" t="str">
        <f t="shared" si="52"/>
        <v>31D</v>
      </c>
      <c r="C812" s="50"/>
      <c r="D812" s="111"/>
      <c r="E812" s="113"/>
      <c r="F812" s="114"/>
      <c r="G812" s="181"/>
      <c r="H812" s="183" t="str">
        <f t="shared" si="53"/>
        <v>FF</v>
      </c>
      <c r="I812" s="112"/>
    </row>
    <row r="813" spans="1:9">
      <c r="A813" s="195">
        <f t="shared" si="54"/>
        <v>798</v>
      </c>
      <c r="B813" s="116" t="str">
        <f t="shared" si="52"/>
        <v>31E</v>
      </c>
      <c r="C813" s="50"/>
      <c r="D813" s="111"/>
      <c r="E813" s="113"/>
      <c r="F813" s="114"/>
      <c r="G813" s="181"/>
      <c r="H813" s="183" t="str">
        <f t="shared" si="53"/>
        <v>FF</v>
      </c>
      <c r="I813" s="112"/>
    </row>
    <row r="814" spans="1:9">
      <c r="A814" s="195">
        <f t="shared" si="54"/>
        <v>799</v>
      </c>
      <c r="B814" s="116" t="str">
        <f t="shared" si="52"/>
        <v>31F</v>
      </c>
      <c r="C814" s="50"/>
      <c r="D814" s="111"/>
      <c r="E814" s="113"/>
      <c r="F814" s="114"/>
      <c r="G814" s="181"/>
      <c r="H814" s="183" t="str">
        <f t="shared" si="53"/>
        <v>FF</v>
      </c>
      <c r="I814" s="112"/>
    </row>
    <row r="815" spans="1:9">
      <c r="A815" s="195">
        <f t="shared" si="54"/>
        <v>800</v>
      </c>
      <c r="B815" s="116" t="str">
        <f t="shared" si="52"/>
        <v>320</v>
      </c>
      <c r="C815" s="50"/>
      <c r="D815" s="111"/>
      <c r="E815" s="113"/>
      <c r="F815" s="114"/>
      <c r="G815" s="181"/>
      <c r="H815" s="183" t="str">
        <f t="shared" si="53"/>
        <v>FF</v>
      </c>
      <c r="I815" s="112"/>
    </row>
    <row r="816" spans="1:9">
      <c r="A816" s="195">
        <f t="shared" si="54"/>
        <v>801</v>
      </c>
      <c r="B816" s="116" t="str">
        <f t="shared" si="52"/>
        <v>321</v>
      </c>
      <c r="C816" s="50"/>
      <c r="D816" s="111"/>
      <c r="E816" s="113"/>
      <c r="F816" s="114"/>
      <c r="G816" s="181"/>
      <c r="H816" s="183" t="str">
        <f t="shared" si="53"/>
        <v>FF</v>
      </c>
      <c r="I816" s="112"/>
    </row>
    <row r="817" spans="1:9">
      <c r="A817" s="195">
        <f t="shared" si="54"/>
        <v>802</v>
      </c>
      <c r="B817" s="116" t="str">
        <f t="shared" si="52"/>
        <v>322</v>
      </c>
      <c r="C817" s="50"/>
      <c r="D817" s="111"/>
      <c r="E817" s="113"/>
      <c r="F817" s="114"/>
      <c r="G817" s="181"/>
      <c r="H817" s="183" t="str">
        <f t="shared" si="53"/>
        <v>FF</v>
      </c>
      <c r="I817" s="112"/>
    </row>
    <row r="818" spans="1:9">
      <c r="A818" s="195">
        <f t="shared" si="54"/>
        <v>803</v>
      </c>
      <c r="B818" s="116" t="str">
        <f t="shared" si="52"/>
        <v>323</v>
      </c>
      <c r="C818" s="50"/>
      <c r="D818" s="111"/>
      <c r="E818" s="113"/>
      <c r="F818" s="114"/>
      <c r="G818" s="181"/>
      <c r="H818" s="183" t="str">
        <f t="shared" si="53"/>
        <v>FF</v>
      </c>
      <c r="I818" s="112"/>
    </row>
    <row r="819" spans="1:9">
      <c r="A819" s="195">
        <f t="shared" si="54"/>
        <v>804</v>
      </c>
      <c r="B819" s="116" t="str">
        <f t="shared" si="52"/>
        <v>324</v>
      </c>
      <c r="C819" s="50"/>
      <c r="D819" s="111"/>
      <c r="E819" s="113"/>
      <c r="F819" s="114"/>
      <c r="G819" s="181"/>
      <c r="H819" s="183" t="str">
        <f t="shared" si="53"/>
        <v>FF</v>
      </c>
      <c r="I819" s="112"/>
    </row>
    <row r="820" spans="1:9">
      <c r="A820" s="195">
        <f t="shared" si="54"/>
        <v>805</v>
      </c>
      <c r="B820" s="116" t="str">
        <f t="shared" si="52"/>
        <v>325</v>
      </c>
      <c r="C820" s="50"/>
      <c r="D820" s="111"/>
      <c r="E820" s="113"/>
      <c r="F820" s="114"/>
      <c r="G820" s="181"/>
      <c r="H820" s="183" t="str">
        <f t="shared" si="53"/>
        <v>FF</v>
      </c>
      <c r="I820" s="112"/>
    </row>
    <row r="821" spans="1:9">
      <c r="A821" s="195">
        <f t="shared" si="54"/>
        <v>806</v>
      </c>
      <c r="B821" s="116" t="str">
        <f t="shared" si="52"/>
        <v>326</v>
      </c>
      <c r="C821" s="50"/>
      <c r="D821" s="111"/>
      <c r="E821" s="113"/>
      <c r="F821" s="114"/>
      <c r="G821" s="181"/>
      <c r="H821" s="183" t="str">
        <f t="shared" si="53"/>
        <v>FF</v>
      </c>
      <c r="I821" s="112"/>
    </row>
    <row r="822" spans="1:9">
      <c r="A822" s="195">
        <f t="shared" si="54"/>
        <v>807</v>
      </c>
      <c r="B822" s="116" t="str">
        <f t="shared" ref="B822:B885" si="55">DEC2HEX(A822,3)</f>
        <v>327</v>
      </c>
      <c r="C822" s="50"/>
      <c r="D822" s="111"/>
      <c r="E822" s="113"/>
      <c r="F822" s="114"/>
      <c r="G822" s="181"/>
      <c r="H822" s="183" t="str">
        <f t="shared" si="53"/>
        <v>FF</v>
      </c>
      <c r="I822" s="112"/>
    </row>
    <row r="823" spans="1:9">
      <c r="A823" s="195">
        <f t="shared" si="54"/>
        <v>808</v>
      </c>
      <c r="B823" s="116" t="str">
        <f t="shared" si="55"/>
        <v>328</v>
      </c>
      <c r="C823" s="50"/>
      <c r="D823" s="111"/>
      <c r="E823" s="113"/>
      <c r="F823" s="114"/>
      <c r="G823" s="181"/>
      <c r="H823" s="183" t="str">
        <f t="shared" si="53"/>
        <v>FF</v>
      </c>
      <c r="I823" s="112"/>
    </row>
    <row r="824" spans="1:9">
      <c r="A824" s="195">
        <f t="shared" si="54"/>
        <v>809</v>
      </c>
      <c r="B824" s="116" t="str">
        <f t="shared" si="55"/>
        <v>329</v>
      </c>
      <c r="C824" s="50"/>
      <c r="D824" s="111"/>
      <c r="E824" s="113"/>
      <c r="F824" s="114"/>
      <c r="G824" s="181"/>
      <c r="H824" s="183" t="str">
        <f t="shared" si="53"/>
        <v>FF</v>
      </c>
      <c r="I824" s="112"/>
    </row>
    <row r="825" spans="1:9">
      <c r="A825" s="195">
        <f t="shared" si="54"/>
        <v>810</v>
      </c>
      <c r="B825" s="116" t="str">
        <f t="shared" si="55"/>
        <v>32A</v>
      </c>
      <c r="C825" s="50"/>
      <c r="D825" s="111"/>
      <c r="E825" s="113"/>
      <c r="F825" s="114"/>
      <c r="G825" s="181"/>
      <c r="H825" s="183" t="str">
        <f t="shared" si="53"/>
        <v>FF</v>
      </c>
      <c r="I825" s="112"/>
    </row>
    <row r="826" spans="1:9">
      <c r="A826" s="195">
        <f t="shared" si="54"/>
        <v>811</v>
      </c>
      <c r="B826" s="116" t="str">
        <f t="shared" si="55"/>
        <v>32B</v>
      </c>
      <c r="C826" s="50"/>
      <c r="D826" s="111"/>
      <c r="E826" s="113"/>
      <c r="F826" s="114"/>
      <c r="G826" s="181"/>
      <c r="H826" s="183" t="str">
        <f t="shared" si="53"/>
        <v>FF</v>
      </c>
      <c r="I826" s="112"/>
    </row>
    <row r="827" spans="1:9">
      <c r="A827" s="195">
        <f t="shared" si="54"/>
        <v>812</v>
      </c>
      <c r="B827" s="116" t="str">
        <f t="shared" si="55"/>
        <v>32C</v>
      </c>
      <c r="C827" s="50"/>
      <c r="D827" s="111"/>
      <c r="E827" s="113"/>
      <c r="F827" s="114"/>
      <c r="G827" s="181"/>
      <c r="H827" s="183" t="str">
        <f t="shared" si="53"/>
        <v>FF</v>
      </c>
      <c r="I827" s="112"/>
    </row>
    <row r="828" spans="1:9">
      <c r="A828" s="195">
        <f t="shared" si="54"/>
        <v>813</v>
      </c>
      <c r="B828" s="116" t="str">
        <f t="shared" si="55"/>
        <v>32D</v>
      </c>
      <c r="C828" s="50"/>
      <c r="D828" s="111"/>
      <c r="E828" s="113"/>
      <c r="F828" s="114"/>
      <c r="G828" s="181"/>
      <c r="H828" s="183" t="str">
        <f t="shared" si="53"/>
        <v>FF</v>
      </c>
      <c r="I828" s="112"/>
    </row>
    <row r="829" spans="1:9">
      <c r="A829" s="195">
        <f t="shared" si="54"/>
        <v>814</v>
      </c>
      <c r="B829" s="116" t="str">
        <f t="shared" si="55"/>
        <v>32E</v>
      </c>
      <c r="C829" s="50"/>
      <c r="D829" s="111"/>
      <c r="E829" s="113"/>
      <c r="F829" s="114"/>
      <c r="G829" s="181"/>
      <c r="H829" s="183" t="str">
        <f t="shared" si="53"/>
        <v>FF</v>
      </c>
      <c r="I829" s="112"/>
    </row>
    <row r="830" spans="1:9">
      <c r="A830" s="195">
        <f t="shared" si="54"/>
        <v>815</v>
      </c>
      <c r="B830" s="116" t="str">
        <f t="shared" si="55"/>
        <v>32F</v>
      </c>
      <c r="C830" s="50"/>
      <c r="D830" s="111"/>
      <c r="E830" s="113"/>
      <c r="F830" s="114"/>
      <c r="G830" s="181"/>
      <c r="H830" s="183" t="str">
        <f t="shared" si="53"/>
        <v>FF</v>
      </c>
      <c r="I830" s="112"/>
    </row>
    <row r="831" spans="1:9">
      <c r="A831" s="195">
        <f t="shared" si="54"/>
        <v>816</v>
      </c>
      <c r="B831" s="116" t="str">
        <f t="shared" si="55"/>
        <v>330</v>
      </c>
      <c r="C831" s="50"/>
      <c r="D831" s="111"/>
      <c r="E831" s="113"/>
      <c r="F831" s="114"/>
      <c r="G831" s="181"/>
      <c r="H831" s="183" t="str">
        <f t="shared" si="53"/>
        <v>FF</v>
      </c>
      <c r="I831" s="112"/>
    </row>
    <row r="832" spans="1:9">
      <c r="A832" s="195">
        <f t="shared" si="54"/>
        <v>817</v>
      </c>
      <c r="B832" s="116" t="str">
        <f t="shared" si="55"/>
        <v>331</v>
      </c>
      <c r="C832" s="50"/>
      <c r="D832" s="111"/>
      <c r="E832" s="113"/>
      <c r="F832" s="114"/>
      <c r="G832" s="181"/>
      <c r="H832" s="183" t="str">
        <f t="shared" si="53"/>
        <v>FF</v>
      </c>
      <c r="I832" s="112"/>
    </row>
    <row r="833" spans="1:9">
      <c r="A833" s="195">
        <f t="shared" si="54"/>
        <v>818</v>
      </c>
      <c r="B833" s="116" t="str">
        <f t="shared" si="55"/>
        <v>332</v>
      </c>
      <c r="C833" s="50"/>
      <c r="D833" s="111"/>
      <c r="E833" s="113"/>
      <c r="F833" s="114"/>
      <c r="G833" s="181"/>
      <c r="H833" s="183" t="str">
        <f t="shared" si="53"/>
        <v>FF</v>
      </c>
      <c r="I833" s="112"/>
    </row>
    <row r="834" spans="1:9">
      <c r="A834" s="195">
        <f t="shared" si="54"/>
        <v>819</v>
      </c>
      <c r="B834" s="116" t="str">
        <f t="shared" si="55"/>
        <v>333</v>
      </c>
      <c r="C834" s="50"/>
      <c r="D834" s="111"/>
      <c r="E834" s="113"/>
      <c r="F834" s="114"/>
      <c r="G834" s="181"/>
      <c r="H834" s="183" t="str">
        <f t="shared" si="53"/>
        <v>FF</v>
      </c>
      <c r="I834" s="112"/>
    </row>
    <row r="835" spans="1:9">
      <c r="A835" s="195">
        <f t="shared" si="54"/>
        <v>820</v>
      </c>
      <c r="B835" s="116" t="str">
        <f t="shared" si="55"/>
        <v>334</v>
      </c>
      <c r="C835" s="50"/>
      <c r="D835" s="111"/>
      <c r="E835" s="113"/>
      <c r="F835" s="114"/>
      <c r="G835" s="181"/>
      <c r="H835" s="183" t="str">
        <f t="shared" si="53"/>
        <v>FF</v>
      </c>
      <c r="I835" s="112"/>
    </row>
    <row r="836" spans="1:9">
      <c r="A836" s="195">
        <f t="shared" si="54"/>
        <v>821</v>
      </c>
      <c r="B836" s="116" t="str">
        <f t="shared" si="55"/>
        <v>335</v>
      </c>
      <c r="C836" s="50"/>
      <c r="D836" s="111"/>
      <c r="E836" s="113"/>
      <c r="F836" s="114"/>
      <c r="G836" s="181"/>
      <c r="H836" s="183" t="str">
        <f t="shared" si="53"/>
        <v>FF</v>
      </c>
      <c r="I836" s="112"/>
    </row>
    <row r="837" spans="1:9">
      <c r="A837" s="195">
        <f t="shared" si="54"/>
        <v>822</v>
      </c>
      <c r="B837" s="116" t="str">
        <f t="shared" si="55"/>
        <v>336</v>
      </c>
      <c r="C837" s="50"/>
      <c r="D837" s="111"/>
      <c r="E837" s="113"/>
      <c r="F837" s="114"/>
      <c r="G837" s="181"/>
      <c r="H837" s="183" t="str">
        <f t="shared" si="53"/>
        <v>FF</v>
      </c>
      <c r="I837" s="112"/>
    </row>
    <row r="838" spans="1:9">
      <c r="A838" s="195">
        <f t="shared" si="54"/>
        <v>823</v>
      </c>
      <c r="B838" s="116" t="str">
        <f t="shared" si="55"/>
        <v>337</v>
      </c>
      <c r="C838" s="50"/>
      <c r="D838" s="111"/>
      <c r="E838" s="113"/>
      <c r="F838" s="114"/>
      <c r="G838" s="181"/>
      <c r="H838" s="183" t="str">
        <f t="shared" si="53"/>
        <v>FF</v>
      </c>
      <c r="I838" s="112"/>
    </row>
    <row r="839" spans="1:9">
      <c r="A839" s="195">
        <f t="shared" si="54"/>
        <v>824</v>
      </c>
      <c r="B839" s="116" t="str">
        <f t="shared" si="55"/>
        <v>338</v>
      </c>
      <c r="C839" s="50"/>
      <c r="D839" s="111"/>
      <c r="E839" s="113"/>
      <c r="F839" s="114"/>
      <c r="G839" s="181"/>
      <c r="H839" s="183" t="str">
        <f t="shared" si="53"/>
        <v>FF</v>
      </c>
      <c r="I839" s="112"/>
    </row>
    <row r="840" spans="1:9">
      <c r="A840" s="195">
        <f t="shared" si="54"/>
        <v>825</v>
      </c>
      <c r="B840" s="116" t="str">
        <f t="shared" si="55"/>
        <v>339</v>
      </c>
      <c r="C840" s="50"/>
      <c r="D840" s="111"/>
      <c r="E840" s="113"/>
      <c r="F840" s="114"/>
      <c r="G840" s="181"/>
      <c r="H840" s="183" t="str">
        <f t="shared" ref="H840:H903" si="56">Fill</f>
        <v>FF</v>
      </c>
      <c r="I840" s="112"/>
    </row>
    <row r="841" spans="1:9">
      <c r="A841" s="195">
        <f t="shared" si="54"/>
        <v>826</v>
      </c>
      <c r="B841" s="116" t="str">
        <f t="shared" si="55"/>
        <v>33A</v>
      </c>
      <c r="C841" s="50"/>
      <c r="D841" s="111"/>
      <c r="E841" s="113"/>
      <c r="F841" s="114"/>
      <c r="G841" s="181"/>
      <c r="H841" s="183" t="str">
        <f t="shared" si="56"/>
        <v>FF</v>
      </c>
      <c r="I841" s="112"/>
    </row>
    <row r="842" spans="1:9">
      <c r="A842" s="195">
        <f t="shared" si="54"/>
        <v>827</v>
      </c>
      <c r="B842" s="116" t="str">
        <f t="shared" si="55"/>
        <v>33B</v>
      </c>
      <c r="C842" s="50"/>
      <c r="D842" s="111"/>
      <c r="E842" s="113"/>
      <c r="F842" s="114"/>
      <c r="G842" s="181"/>
      <c r="H842" s="183" t="str">
        <f t="shared" si="56"/>
        <v>FF</v>
      </c>
      <c r="I842" s="112"/>
    </row>
    <row r="843" spans="1:9">
      <c r="A843" s="195">
        <f t="shared" si="54"/>
        <v>828</v>
      </c>
      <c r="B843" s="116" t="str">
        <f t="shared" si="55"/>
        <v>33C</v>
      </c>
      <c r="C843" s="50"/>
      <c r="D843" s="111"/>
      <c r="E843" s="113"/>
      <c r="F843" s="114"/>
      <c r="G843" s="181"/>
      <c r="H843" s="183" t="str">
        <f t="shared" si="56"/>
        <v>FF</v>
      </c>
      <c r="I843" s="112"/>
    </row>
    <row r="844" spans="1:9">
      <c r="A844" s="195">
        <f t="shared" si="54"/>
        <v>829</v>
      </c>
      <c r="B844" s="116" t="str">
        <f t="shared" si="55"/>
        <v>33D</v>
      </c>
      <c r="C844" s="50"/>
      <c r="D844" s="111"/>
      <c r="E844" s="113"/>
      <c r="F844" s="114"/>
      <c r="G844" s="181"/>
      <c r="H844" s="183" t="str">
        <f t="shared" si="56"/>
        <v>FF</v>
      </c>
      <c r="I844" s="112"/>
    </row>
    <row r="845" spans="1:9">
      <c r="A845" s="195">
        <f t="shared" si="54"/>
        <v>830</v>
      </c>
      <c r="B845" s="116" t="str">
        <f t="shared" si="55"/>
        <v>33E</v>
      </c>
      <c r="C845" s="50"/>
      <c r="D845" s="111"/>
      <c r="E845" s="113"/>
      <c r="F845" s="114"/>
      <c r="G845" s="181"/>
      <c r="H845" s="183" t="str">
        <f t="shared" si="56"/>
        <v>FF</v>
      </c>
      <c r="I845" s="112"/>
    </row>
    <row r="846" spans="1:9">
      <c r="A846" s="195">
        <f t="shared" si="54"/>
        <v>831</v>
      </c>
      <c r="B846" s="116" t="str">
        <f t="shared" si="55"/>
        <v>33F</v>
      </c>
      <c r="C846" s="50"/>
      <c r="D846" s="111"/>
      <c r="E846" s="113"/>
      <c r="F846" s="114"/>
      <c r="G846" s="181"/>
      <c r="H846" s="183" t="str">
        <f t="shared" si="56"/>
        <v>FF</v>
      </c>
      <c r="I846" s="112"/>
    </row>
    <row r="847" spans="1:9">
      <c r="A847" s="195">
        <f t="shared" si="54"/>
        <v>832</v>
      </c>
      <c r="B847" s="116" t="str">
        <f t="shared" si="55"/>
        <v>340</v>
      </c>
      <c r="C847" s="50"/>
      <c r="D847" s="111"/>
      <c r="E847" s="113"/>
      <c r="F847" s="114"/>
      <c r="G847" s="181"/>
      <c r="H847" s="183" t="str">
        <f t="shared" si="56"/>
        <v>FF</v>
      </c>
      <c r="I847" s="112"/>
    </row>
    <row r="848" spans="1:9">
      <c r="A848" s="195">
        <f t="shared" si="54"/>
        <v>833</v>
      </c>
      <c r="B848" s="116" t="str">
        <f t="shared" si="55"/>
        <v>341</v>
      </c>
      <c r="C848" s="50"/>
      <c r="D848" s="111"/>
      <c r="E848" s="113"/>
      <c r="F848" s="114"/>
      <c r="G848" s="181"/>
      <c r="H848" s="183" t="str">
        <f t="shared" si="56"/>
        <v>FF</v>
      </c>
      <c r="I848" s="112"/>
    </row>
    <row r="849" spans="1:9">
      <c r="A849" s="195">
        <f t="shared" si="54"/>
        <v>834</v>
      </c>
      <c r="B849" s="116" t="str">
        <f t="shared" si="55"/>
        <v>342</v>
      </c>
      <c r="C849" s="50"/>
      <c r="D849" s="111"/>
      <c r="E849" s="113"/>
      <c r="F849" s="114"/>
      <c r="G849" s="181"/>
      <c r="H849" s="183" t="str">
        <f t="shared" si="56"/>
        <v>FF</v>
      </c>
      <c r="I849" s="112"/>
    </row>
    <row r="850" spans="1:9">
      <c r="A850" s="195">
        <f t="shared" si="54"/>
        <v>835</v>
      </c>
      <c r="B850" s="116" t="str">
        <f t="shared" si="55"/>
        <v>343</v>
      </c>
      <c r="C850" s="50"/>
      <c r="D850" s="111"/>
      <c r="E850" s="113"/>
      <c r="F850" s="114"/>
      <c r="G850" s="181"/>
      <c r="H850" s="183" t="str">
        <f t="shared" si="56"/>
        <v>FF</v>
      </c>
      <c r="I850" s="112"/>
    </row>
    <row r="851" spans="1:9">
      <c r="A851" s="195">
        <f t="shared" si="54"/>
        <v>836</v>
      </c>
      <c r="B851" s="116" t="str">
        <f t="shared" si="55"/>
        <v>344</v>
      </c>
      <c r="C851" s="50"/>
      <c r="D851" s="111"/>
      <c r="E851" s="113"/>
      <c r="F851" s="114"/>
      <c r="G851" s="181"/>
      <c r="H851" s="183" t="str">
        <f t="shared" si="56"/>
        <v>FF</v>
      </c>
      <c r="I851" s="112"/>
    </row>
    <row r="852" spans="1:9">
      <c r="A852" s="195">
        <f t="shared" si="54"/>
        <v>837</v>
      </c>
      <c r="B852" s="116" t="str">
        <f t="shared" si="55"/>
        <v>345</v>
      </c>
      <c r="C852" s="50"/>
      <c r="D852" s="111"/>
      <c r="E852" s="113"/>
      <c r="F852" s="114"/>
      <c r="G852" s="181"/>
      <c r="H852" s="183" t="str">
        <f t="shared" si="56"/>
        <v>FF</v>
      </c>
      <c r="I852" s="112"/>
    </row>
    <row r="853" spans="1:9">
      <c r="A853" s="195">
        <f t="shared" si="54"/>
        <v>838</v>
      </c>
      <c r="B853" s="116" t="str">
        <f t="shared" si="55"/>
        <v>346</v>
      </c>
      <c r="C853" s="50"/>
      <c r="D853" s="111"/>
      <c r="E853" s="113"/>
      <c r="F853" s="114"/>
      <c r="G853" s="181"/>
      <c r="H853" s="183" t="str">
        <f t="shared" si="56"/>
        <v>FF</v>
      </c>
      <c r="I853" s="112"/>
    </row>
    <row r="854" spans="1:9">
      <c r="A854" s="195">
        <f t="shared" si="54"/>
        <v>839</v>
      </c>
      <c r="B854" s="116" t="str">
        <f t="shared" si="55"/>
        <v>347</v>
      </c>
      <c r="C854" s="50"/>
      <c r="D854" s="111"/>
      <c r="E854" s="113"/>
      <c r="F854" s="114"/>
      <c r="G854" s="181"/>
      <c r="H854" s="183" t="str">
        <f t="shared" si="56"/>
        <v>FF</v>
      </c>
      <c r="I854" s="112"/>
    </row>
    <row r="855" spans="1:9">
      <c r="A855" s="195">
        <f t="shared" si="54"/>
        <v>840</v>
      </c>
      <c r="B855" s="116" t="str">
        <f t="shared" si="55"/>
        <v>348</v>
      </c>
      <c r="C855" s="50"/>
      <c r="D855" s="111"/>
      <c r="E855" s="113"/>
      <c r="F855" s="114"/>
      <c r="G855" s="181"/>
      <c r="H855" s="183" t="str">
        <f t="shared" si="56"/>
        <v>FF</v>
      </c>
      <c r="I855" s="112"/>
    </row>
    <row r="856" spans="1:9">
      <c r="A856" s="195">
        <f t="shared" si="54"/>
        <v>841</v>
      </c>
      <c r="B856" s="116" t="str">
        <f t="shared" si="55"/>
        <v>349</v>
      </c>
      <c r="C856" s="50"/>
      <c r="D856" s="111"/>
      <c r="E856" s="113"/>
      <c r="F856" s="114"/>
      <c r="G856" s="181"/>
      <c r="H856" s="183" t="str">
        <f t="shared" si="56"/>
        <v>FF</v>
      </c>
      <c r="I856" s="112"/>
    </row>
    <row r="857" spans="1:9">
      <c r="A857" s="195">
        <f t="shared" si="54"/>
        <v>842</v>
      </c>
      <c r="B857" s="116" t="str">
        <f t="shared" si="55"/>
        <v>34A</v>
      </c>
      <c r="C857" s="50"/>
      <c r="D857" s="111"/>
      <c r="E857" s="113"/>
      <c r="F857" s="114"/>
      <c r="G857" s="181"/>
      <c r="H857" s="183" t="str">
        <f t="shared" si="56"/>
        <v>FF</v>
      </c>
      <c r="I857" s="112"/>
    </row>
    <row r="858" spans="1:9">
      <c r="A858" s="195">
        <f t="shared" si="54"/>
        <v>843</v>
      </c>
      <c r="B858" s="116" t="str">
        <f t="shared" si="55"/>
        <v>34B</v>
      </c>
      <c r="C858" s="50"/>
      <c r="D858" s="111"/>
      <c r="E858" s="113"/>
      <c r="F858" s="114"/>
      <c r="G858" s="181"/>
      <c r="H858" s="183" t="str">
        <f t="shared" si="56"/>
        <v>FF</v>
      </c>
      <c r="I858" s="112"/>
    </row>
    <row r="859" spans="1:9">
      <c r="A859" s="195">
        <f t="shared" ref="A859:A922" si="57">A858+(ROW()-ROW(A858))</f>
        <v>844</v>
      </c>
      <c r="B859" s="116" t="str">
        <f t="shared" si="55"/>
        <v>34C</v>
      </c>
      <c r="C859" s="50"/>
      <c r="D859" s="111"/>
      <c r="E859" s="113"/>
      <c r="F859" s="114"/>
      <c r="G859" s="181"/>
      <c r="H859" s="183" t="str">
        <f t="shared" si="56"/>
        <v>FF</v>
      </c>
      <c r="I859" s="112"/>
    </row>
    <row r="860" spans="1:9">
      <c r="A860" s="195">
        <f t="shared" si="57"/>
        <v>845</v>
      </c>
      <c r="B860" s="116" t="str">
        <f t="shared" si="55"/>
        <v>34D</v>
      </c>
      <c r="C860" s="50"/>
      <c r="D860" s="111"/>
      <c r="E860" s="113"/>
      <c r="F860" s="114"/>
      <c r="G860" s="181"/>
      <c r="H860" s="183" t="str">
        <f t="shared" si="56"/>
        <v>FF</v>
      </c>
      <c r="I860" s="112"/>
    </row>
    <row r="861" spans="1:9">
      <c r="A861" s="195">
        <f t="shared" si="57"/>
        <v>846</v>
      </c>
      <c r="B861" s="116" t="str">
        <f t="shared" si="55"/>
        <v>34E</v>
      </c>
      <c r="C861" s="50"/>
      <c r="D861" s="111"/>
      <c r="E861" s="113"/>
      <c r="F861" s="114"/>
      <c r="G861" s="181"/>
      <c r="H861" s="183" t="str">
        <f t="shared" si="56"/>
        <v>FF</v>
      </c>
      <c r="I861" s="112"/>
    </row>
    <row r="862" spans="1:9">
      <c r="A862" s="195">
        <f t="shared" si="57"/>
        <v>847</v>
      </c>
      <c r="B862" s="116" t="str">
        <f t="shared" si="55"/>
        <v>34F</v>
      </c>
      <c r="C862" s="50"/>
      <c r="D862" s="111"/>
      <c r="E862" s="113"/>
      <c r="F862" s="114"/>
      <c r="G862" s="181"/>
      <c r="H862" s="183" t="str">
        <f t="shared" si="56"/>
        <v>FF</v>
      </c>
      <c r="I862" s="112"/>
    </row>
    <row r="863" spans="1:9">
      <c r="A863" s="195">
        <f t="shared" si="57"/>
        <v>848</v>
      </c>
      <c r="B863" s="116" t="str">
        <f t="shared" si="55"/>
        <v>350</v>
      </c>
      <c r="C863" s="50"/>
      <c r="D863" s="111"/>
      <c r="E863" s="113"/>
      <c r="F863" s="114"/>
      <c r="G863" s="181"/>
      <c r="H863" s="183" t="str">
        <f t="shared" si="56"/>
        <v>FF</v>
      </c>
      <c r="I863" s="112"/>
    </row>
    <row r="864" spans="1:9">
      <c r="A864" s="195">
        <f t="shared" si="57"/>
        <v>849</v>
      </c>
      <c r="B864" s="116" t="str">
        <f t="shared" si="55"/>
        <v>351</v>
      </c>
      <c r="C864" s="50"/>
      <c r="D864" s="111"/>
      <c r="E864" s="113"/>
      <c r="F864" s="114"/>
      <c r="G864" s="181"/>
      <c r="H864" s="183" t="str">
        <f t="shared" si="56"/>
        <v>FF</v>
      </c>
      <c r="I864" s="112"/>
    </row>
    <row r="865" spans="1:9">
      <c r="A865" s="195">
        <f t="shared" si="57"/>
        <v>850</v>
      </c>
      <c r="B865" s="116" t="str">
        <f t="shared" si="55"/>
        <v>352</v>
      </c>
      <c r="C865" s="50"/>
      <c r="D865" s="111"/>
      <c r="E865" s="113"/>
      <c r="F865" s="114"/>
      <c r="G865" s="181"/>
      <c r="H865" s="183" t="str">
        <f t="shared" si="56"/>
        <v>FF</v>
      </c>
      <c r="I865" s="112"/>
    </row>
    <row r="866" spans="1:9">
      <c r="A866" s="195">
        <f t="shared" si="57"/>
        <v>851</v>
      </c>
      <c r="B866" s="116" t="str">
        <f t="shared" si="55"/>
        <v>353</v>
      </c>
      <c r="C866" s="50"/>
      <c r="D866" s="111"/>
      <c r="E866" s="113"/>
      <c r="F866" s="114"/>
      <c r="G866" s="181"/>
      <c r="H866" s="183" t="str">
        <f t="shared" si="56"/>
        <v>FF</v>
      </c>
      <c r="I866" s="112"/>
    </row>
    <row r="867" spans="1:9">
      <c r="A867" s="195">
        <f t="shared" si="57"/>
        <v>852</v>
      </c>
      <c r="B867" s="116" t="str">
        <f t="shared" si="55"/>
        <v>354</v>
      </c>
      <c r="C867" s="50"/>
      <c r="D867" s="111"/>
      <c r="E867" s="113"/>
      <c r="F867" s="114"/>
      <c r="G867" s="181"/>
      <c r="H867" s="183" t="str">
        <f t="shared" si="56"/>
        <v>FF</v>
      </c>
      <c r="I867" s="112"/>
    </row>
    <row r="868" spans="1:9">
      <c r="A868" s="195">
        <f t="shared" si="57"/>
        <v>853</v>
      </c>
      <c r="B868" s="116" t="str">
        <f t="shared" si="55"/>
        <v>355</v>
      </c>
      <c r="C868" s="50"/>
      <c r="D868" s="111"/>
      <c r="E868" s="113"/>
      <c r="F868" s="114"/>
      <c r="G868" s="181"/>
      <c r="H868" s="183" t="str">
        <f t="shared" si="56"/>
        <v>FF</v>
      </c>
      <c r="I868" s="112"/>
    </row>
    <row r="869" spans="1:9">
      <c r="A869" s="195">
        <f t="shared" si="57"/>
        <v>854</v>
      </c>
      <c r="B869" s="116" t="str">
        <f t="shared" si="55"/>
        <v>356</v>
      </c>
      <c r="C869" s="50"/>
      <c r="D869" s="111"/>
      <c r="E869" s="113"/>
      <c r="F869" s="114"/>
      <c r="G869" s="181"/>
      <c r="H869" s="183" t="str">
        <f t="shared" si="56"/>
        <v>FF</v>
      </c>
      <c r="I869" s="112"/>
    </row>
    <row r="870" spans="1:9">
      <c r="A870" s="195">
        <f t="shared" si="57"/>
        <v>855</v>
      </c>
      <c r="B870" s="116" t="str">
        <f t="shared" si="55"/>
        <v>357</v>
      </c>
      <c r="C870" s="50"/>
      <c r="D870" s="111"/>
      <c r="E870" s="113"/>
      <c r="F870" s="114"/>
      <c r="G870" s="181"/>
      <c r="H870" s="183" t="str">
        <f t="shared" si="56"/>
        <v>FF</v>
      </c>
      <c r="I870" s="112"/>
    </row>
    <row r="871" spans="1:9">
      <c r="A871" s="195">
        <f t="shared" si="57"/>
        <v>856</v>
      </c>
      <c r="B871" s="116" t="str">
        <f t="shared" si="55"/>
        <v>358</v>
      </c>
      <c r="C871" s="50"/>
      <c r="D871" s="111"/>
      <c r="E871" s="113"/>
      <c r="F871" s="114"/>
      <c r="G871" s="181"/>
      <c r="H871" s="183" t="str">
        <f t="shared" si="56"/>
        <v>FF</v>
      </c>
      <c r="I871" s="112"/>
    </row>
    <row r="872" spans="1:9">
      <c r="A872" s="195">
        <f t="shared" si="57"/>
        <v>857</v>
      </c>
      <c r="B872" s="116" t="str">
        <f t="shared" si="55"/>
        <v>359</v>
      </c>
      <c r="C872" s="50"/>
      <c r="D872" s="111"/>
      <c r="E872" s="113"/>
      <c r="F872" s="114"/>
      <c r="G872" s="181"/>
      <c r="H872" s="183" t="str">
        <f t="shared" si="56"/>
        <v>FF</v>
      </c>
      <c r="I872" s="112"/>
    </row>
    <row r="873" spans="1:9">
      <c r="A873" s="195">
        <f t="shared" si="57"/>
        <v>858</v>
      </c>
      <c r="B873" s="116" t="str">
        <f t="shared" si="55"/>
        <v>35A</v>
      </c>
      <c r="C873" s="50"/>
      <c r="D873" s="111"/>
      <c r="E873" s="113"/>
      <c r="F873" s="114"/>
      <c r="G873" s="181"/>
      <c r="H873" s="183" t="str">
        <f t="shared" si="56"/>
        <v>FF</v>
      </c>
      <c r="I873" s="112"/>
    </row>
    <row r="874" spans="1:9">
      <c r="A874" s="195">
        <f t="shared" si="57"/>
        <v>859</v>
      </c>
      <c r="B874" s="116" t="str">
        <f t="shared" si="55"/>
        <v>35B</v>
      </c>
      <c r="C874" s="50"/>
      <c r="D874" s="111"/>
      <c r="E874" s="113"/>
      <c r="F874" s="114"/>
      <c r="G874" s="181"/>
      <c r="H874" s="183" t="str">
        <f t="shared" si="56"/>
        <v>FF</v>
      </c>
      <c r="I874" s="112"/>
    </row>
    <row r="875" spans="1:9">
      <c r="A875" s="195">
        <f t="shared" si="57"/>
        <v>860</v>
      </c>
      <c r="B875" s="116" t="str">
        <f t="shared" si="55"/>
        <v>35C</v>
      </c>
      <c r="C875" s="50"/>
      <c r="D875" s="111"/>
      <c r="E875" s="113"/>
      <c r="F875" s="114"/>
      <c r="G875" s="181"/>
      <c r="H875" s="183" t="str">
        <f t="shared" si="56"/>
        <v>FF</v>
      </c>
      <c r="I875" s="112"/>
    </row>
    <row r="876" spans="1:9">
      <c r="A876" s="195">
        <f t="shared" si="57"/>
        <v>861</v>
      </c>
      <c r="B876" s="116" t="str">
        <f t="shared" si="55"/>
        <v>35D</v>
      </c>
      <c r="C876" s="50"/>
      <c r="D876" s="111"/>
      <c r="E876" s="113"/>
      <c r="F876" s="114"/>
      <c r="G876" s="181"/>
      <c r="H876" s="183" t="str">
        <f t="shared" si="56"/>
        <v>FF</v>
      </c>
      <c r="I876" s="112"/>
    </row>
    <row r="877" spans="1:9">
      <c r="A877" s="195">
        <f t="shared" si="57"/>
        <v>862</v>
      </c>
      <c r="B877" s="116" t="str">
        <f t="shared" si="55"/>
        <v>35E</v>
      </c>
      <c r="C877" s="50"/>
      <c r="D877" s="111"/>
      <c r="E877" s="113"/>
      <c r="F877" s="114"/>
      <c r="G877" s="181"/>
      <c r="H877" s="183" t="str">
        <f t="shared" si="56"/>
        <v>FF</v>
      </c>
      <c r="I877" s="112"/>
    </row>
    <row r="878" spans="1:9">
      <c r="A878" s="195">
        <f t="shared" si="57"/>
        <v>863</v>
      </c>
      <c r="B878" s="116" t="str">
        <f t="shared" si="55"/>
        <v>35F</v>
      </c>
      <c r="C878" s="50"/>
      <c r="D878" s="111"/>
      <c r="E878" s="113"/>
      <c r="F878" s="114"/>
      <c r="G878" s="181"/>
      <c r="H878" s="183" t="str">
        <f t="shared" si="56"/>
        <v>FF</v>
      </c>
      <c r="I878" s="112"/>
    </row>
    <row r="879" spans="1:9">
      <c r="A879" s="195">
        <f t="shared" si="57"/>
        <v>864</v>
      </c>
      <c r="B879" s="116" t="str">
        <f t="shared" si="55"/>
        <v>360</v>
      </c>
      <c r="C879" s="50"/>
      <c r="D879" s="111"/>
      <c r="E879" s="113"/>
      <c r="F879" s="114"/>
      <c r="G879" s="181"/>
      <c r="H879" s="183" t="str">
        <f t="shared" si="56"/>
        <v>FF</v>
      </c>
      <c r="I879" s="112"/>
    </row>
    <row r="880" spans="1:9">
      <c r="A880" s="195">
        <f t="shared" si="57"/>
        <v>865</v>
      </c>
      <c r="B880" s="116" t="str">
        <f t="shared" si="55"/>
        <v>361</v>
      </c>
      <c r="C880" s="50"/>
      <c r="D880" s="111"/>
      <c r="E880" s="113"/>
      <c r="F880" s="114"/>
      <c r="G880" s="181"/>
      <c r="H880" s="183" t="str">
        <f t="shared" si="56"/>
        <v>FF</v>
      </c>
      <c r="I880" s="112"/>
    </row>
    <row r="881" spans="1:9">
      <c r="A881" s="195">
        <f t="shared" si="57"/>
        <v>866</v>
      </c>
      <c r="B881" s="116" t="str">
        <f t="shared" si="55"/>
        <v>362</v>
      </c>
      <c r="C881" s="50"/>
      <c r="D881" s="111"/>
      <c r="E881" s="113"/>
      <c r="F881" s="114"/>
      <c r="G881" s="181"/>
      <c r="H881" s="183" t="str">
        <f t="shared" si="56"/>
        <v>FF</v>
      </c>
      <c r="I881" s="112"/>
    </row>
    <row r="882" spans="1:9">
      <c r="A882" s="195">
        <f t="shared" si="57"/>
        <v>867</v>
      </c>
      <c r="B882" s="116" t="str">
        <f t="shared" si="55"/>
        <v>363</v>
      </c>
      <c r="C882" s="50"/>
      <c r="D882" s="111"/>
      <c r="E882" s="113"/>
      <c r="F882" s="114"/>
      <c r="G882" s="181"/>
      <c r="H882" s="183" t="str">
        <f t="shared" si="56"/>
        <v>FF</v>
      </c>
      <c r="I882" s="112"/>
    </row>
    <row r="883" spans="1:9">
      <c r="A883" s="195">
        <f t="shared" si="57"/>
        <v>868</v>
      </c>
      <c r="B883" s="116" t="str">
        <f t="shared" si="55"/>
        <v>364</v>
      </c>
      <c r="C883" s="50"/>
      <c r="D883" s="111"/>
      <c r="E883" s="113"/>
      <c r="F883" s="114"/>
      <c r="G883" s="181"/>
      <c r="H883" s="183" t="str">
        <f t="shared" si="56"/>
        <v>FF</v>
      </c>
      <c r="I883" s="112"/>
    </row>
    <row r="884" spans="1:9">
      <c r="A884" s="195">
        <f t="shared" si="57"/>
        <v>869</v>
      </c>
      <c r="B884" s="116" t="str">
        <f t="shared" si="55"/>
        <v>365</v>
      </c>
      <c r="C884" s="50"/>
      <c r="D884" s="111"/>
      <c r="E884" s="113"/>
      <c r="F884" s="114"/>
      <c r="G884" s="181"/>
      <c r="H884" s="183" t="str">
        <f t="shared" si="56"/>
        <v>FF</v>
      </c>
      <c r="I884" s="112"/>
    </row>
    <row r="885" spans="1:9">
      <c r="A885" s="195">
        <f t="shared" si="57"/>
        <v>870</v>
      </c>
      <c r="B885" s="116" t="str">
        <f t="shared" si="55"/>
        <v>366</v>
      </c>
      <c r="C885" s="50"/>
      <c r="D885" s="111"/>
      <c r="E885" s="113"/>
      <c r="F885" s="114"/>
      <c r="G885" s="181"/>
      <c r="H885" s="183" t="str">
        <f t="shared" si="56"/>
        <v>FF</v>
      </c>
      <c r="I885" s="112"/>
    </row>
    <row r="886" spans="1:9">
      <c r="A886" s="195">
        <f t="shared" si="57"/>
        <v>871</v>
      </c>
      <c r="B886" s="116" t="str">
        <f t="shared" ref="B886:B949" si="58">DEC2HEX(A886,3)</f>
        <v>367</v>
      </c>
      <c r="C886" s="50"/>
      <c r="D886" s="111"/>
      <c r="E886" s="113"/>
      <c r="F886" s="114"/>
      <c r="G886" s="181"/>
      <c r="H886" s="183" t="str">
        <f t="shared" si="56"/>
        <v>FF</v>
      </c>
      <c r="I886" s="112"/>
    </row>
    <row r="887" spans="1:9">
      <c r="A887" s="195">
        <f t="shared" si="57"/>
        <v>872</v>
      </c>
      <c r="B887" s="116" t="str">
        <f t="shared" si="58"/>
        <v>368</v>
      </c>
      <c r="C887" s="50"/>
      <c r="D887" s="111"/>
      <c r="E887" s="113"/>
      <c r="F887" s="114"/>
      <c r="G887" s="181"/>
      <c r="H887" s="183" t="str">
        <f t="shared" si="56"/>
        <v>FF</v>
      </c>
      <c r="I887" s="112"/>
    </row>
    <row r="888" spans="1:9">
      <c r="A888" s="195">
        <f t="shared" si="57"/>
        <v>873</v>
      </c>
      <c r="B888" s="116" t="str">
        <f t="shared" si="58"/>
        <v>369</v>
      </c>
      <c r="C888" s="50"/>
      <c r="D888" s="111"/>
      <c r="E888" s="113"/>
      <c r="F888" s="114"/>
      <c r="G888" s="181"/>
      <c r="H888" s="183" t="str">
        <f t="shared" si="56"/>
        <v>FF</v>
      </c>
      <c r="I888" s="112"/>
    </row>
    <row r="889" spans="1:9">
      <c r="A889" s="195">
        <f t="shared" si="57"/>
        <v>874</v>
      </c>
      <c r="B889" s="116" t="str">
        <f t="shared" si="58"/>
        <v>36A</v>
      </c>
      <c r="C889" s="50"/>
      <c r="D889" s="111"/>
      <c r="E889" s="113"/>
      <c r="F889" s="114"/>
      <c r="G889" s="181"/>
      <c r="H889" s="183" t="str">
        <f t="shared" si="56"/>
        <v>FF</v>
      </c>
      <c r="I889" s="112"/>
    </row>
    <row r="890" spans="1:9">
      <c r="A890" s="195">
        <f t="shared" si="57"/>
        <v>875</v>
      </c>
      <c r="B890" s="116" t="str">
        <f t="shared" si="58"/>
        <v>36B</v>
      </c>
      <c r="C890" s="50"/>
      <c r="D890" s="111"/>
      <c r="E890" s="113"/>
      <c r="F890" s="114"/>
      <c r="G890" s="181"/>
      <c r="H890" s="183" t="str">
        <f t="shared" si="56"/>
        <v>FF</v>
      </c>
      <c r="I890" s="112"/>
    </row>
    <row r="891" spans="1:9">
      <c r="A891" s="195">
        <f t="shared" si="57"/>
        <v>876</v>
      </c>
      <c r="B891" s="116" t="str">
        <f t="shared" si="58"/>
        <v>36C</v>
      </c>
      <c r="C891" s="50"/>
      <c r="D891" s="111"/>
      <c r="E891" s="113"/>
      <c r="F891" s="114"/>
      <c r="G891" s="181"/>
      <c r="H891" s="183" t="str">
        <f t="shared" si="56"/>
        <v>FF</v>
      </c>
      <c r="I891" s="112"/>
    </row>
    <row r="892" spans="1:9">
      <c r="A892" s="195">
        <f t="shared" si="57"/>
        <v>877</v>
      </c>
      <c r="B892" s="116" t="str">
        <f t="shared" si="58"/>
        <v>36D</v>
      </c>
      <c r="C892" s="50"/>
      <c r="D892" s="111"/>
      <c r="E892" s="113"/>
      <c r="F892" s="114"/>
      <c r="G892" s="181"/>
      <c r="H892" s="183" t="str">
        <f t="shared" si="56"/>
        <v>FF</v>
      </c>
      <c r="I892" s="112"/>
    </row>
    <row r="893" spans="1:9">
      <c r="A893" s="195">
        <f t="shared" si="57"/>
        <v>878</v>
      </c>
      <c r="B893" s="116" t="str">
        <f t="shared" si="58"/>
        <v>36E</v>
      </c>
      <c r="C893" s="50"/>
      <c r="D893" s="111"/>
      <c r="E893" s="113"/>
      <c r="F893" s="114"/>
      <c r="G893" s="181"/>
      <c r="H893" s="183" t="str">
        <f t="shared" si="56"/>
        <v>FF</v>
      </c>
      <c r="I893" s="112"/>
    </row>
    <row r="894" spans="1:9">
      <c r="A894" s="195">
        <f t="shared" si="57"/>
        <v>879</v>
      </c>
      <c r="B894" s="116" t="str">
        <f t="shared" si="58"/>
        <v>36F</v>
      </c>
      <c r="C894" s="50"/>
      <c r="D894" s="111"/>
      <c r="E894" s="113"/>
      <c r="F894" s="114"/>
      <c r="G894" s="181"/>
      <c r="H894" s="183" t="str">
        <f t="shared" si="56"/>
        <v>FF</v>
      </c>
      <c r="I894" s="112"/>
    </row>
    <row r="895" spans="1:9">
      <c r="A895" s="195">
        <f t="shared" si="57"/>
        <v>880</v>
      </c>
      <c r="B895" s="116" t="str">
        <f t="shared" si="58"/>
        <v>370</v>
      </c>
      <c r="C895" s="50"/>
      <c r="D895" s="111"/>
      <c r="E895" s="113"/>
      <c r="F895" s="114"/>
      <c r="G895" s="181"/>
      <c r="H895" s="183" t="str">
        <f t="shared" si="56"/>
        <v>FF</v>
      </c>
      <c r="I895" s="112"/>
    </row>
    <row r="896" spans="1:9">
      <c r="A896" s="195">
        <f t="shared" si="57"/>
        <v>881</v>
      </c>
      <c r="B896" s="116" t="str">
        <f t="shared" si="58"/>
        <v>371</v>
      </c>
      <c r="C896" s="50"/>
      <c r="D896" s="111"/>
      <c r="E896" s="113"/>
      <c r="F896" s="114"/>
      <c r="G896" s="181"/>
      <c r="H896" s="183" t="str">
        <f t="shared" si="56"/>
        <v>FF</v>
      </c>
      <c r="I896" s="112"/>
    </row>
    <row r="897" spans="1:9">
      <c r="A897" s="195">
        <f t="shared" si="57"/>
        <v>882</v>
      </c>
      <c r="B897" s="116" t="str">
        <f t="shared" si="58"/>
        <v>372</v>
      </c>
      <c r="C897" s="50"/>
      <c r="D897" s="111"/>
      <c r="E897" s="113"/>
      <c r="F897" s="114"/>
      <c r="G897" s="181"/>
      <c r="H897" s="183" t="str">
        <f t="shared" si="56"/>
        <v>FF</v>
      </c>
      <c r="I897" s="112"/>
    </row>
    <row r="898" spans="1:9">
      <c r="A898" s="195">
        <f t="shared" si="57"/>
        <v>883</v>
      </c>
      <c r="B898" s="116" t="str">
        <f t="shared" si="58"/>
        <v>373</v>
      </c>
      <c r="C898" s="50"/>
      <c r="D898" s="111"/>
      <c r="E898" s="113"/>
      <c r="F898" s="114"/>
      <c r="G898" s="181"/>
      <c r="H898" s="183" t="str">
        <f t="shared" si="56"/>
        <v>FF</v>
      </c>
      <c r="I898" s="112"/>
    </row>
    <row r="899" spans="1:9">
      <c r="A899" s="195">
        <f t="shared" si="57"/>
        <v>884</v>
      </c>
      <c r="B899" s="116" t="str">
        <f t="shared" si="58"/>
        <v>374</v>
      </c>
      <c r="C899" s="50"/>
      <c r="D899" s="111"/>
      <c r="E899" s="113"/>
      <c r="F899" s="114"/>
      <c r="G899" s="181"/>
      <c r="H899" s="183" t="str">
        <f t="shared" si="56"/>
        <v>FF</v>
      </c>
      <c r="I899" s="112"/>
    </row>
    <row r="900" spans="1:9">
      <c r="A900" s="195">
        <f t="shared" si="57"/>
        <v>885</v>
      </c>
      <c r="B900" s="116" t="str">
        <f t="shared" si="58"/>
        <v>375</v>
      </c>
      <c r="C900" s="50"/>
      <c r="D900" s="111"/>
      <c r="E900" s="113"/>
      <c r="F900" s="114"/>
      <c r="G900" s="181"/>
      <c r="H900" s="183" t="str">
        <f t="shared" si="56"/>
        <v>FF</v>
      </c>
      <c r="I900" s="112"/>
    </row>
    <row r="901" spans="1:9">
      <c r="A901" s="195">
        <f t="shared" si="57"/>
        <v>886</v>
      </c>
      <c r="B901" s="116" t="str">
        <f t="shared" si="58"/>
        <v>376</v>
      </c>
      <c r="C901" s="50"/>
      <c r="D901" s="111"/>
      <c r="E901" s="113"/>
      <c r="F901" s="114"/>
      <c r="G901" s="181"/>
      <c r="H901" s="183" t="str">
        <f t="shared" si="56"/>
        <v>FF</v>
      </c>
      <c r="I901" s="112"/>
    </row>
    <row r="902" spans="1:9">
      <c r="A902" s="195">
        <f t="shared" si="57"/>
        <v>887</v>
      </c>
      <c r="B902" s="116" t="str">
        <f t="shared" si="58"/>
        <v>377</v>
      </c>
      <c r="C902" s="50"/>
      <c r="D902" s="111"/>
      <c r="E902" s="113"/>
      <c r="F902" s="114"/>
      <c r="G902" s="181"/>
      <c r="H902" s="183" t="str">
        <f t="shared" si="56"/>
        <v>FF</v>
      </c>
      <c r="I902" s="112"/>
    </row>
    <row r="903" spans="1:9">
      <c r="A903" s="195">
        <f t="shared" si="57"/>
        <v>888</v>
      </c>
      <c r="B903" s="116" t="str">
        <f t="shared" si="58"/>
        <v>378</v>
      </c>
      <c r="C903" s="50"/>
      <c r="D903" s="111"/>
      <c r="E903" s="113"/>
      <c r="F903" s="114"/>
      <c r="G903" s="181"/>
      <c r="H903" s="183" t="str">
        <f t="shared" si="56"/>
        <v>FF</v>
      </c>
      <c r="I903" s="112"/>
    </row>
    <row r="904" spans="1:9">
      <c r="A904" s="195">
        <f t="shared" si="57"/>
        <v>889</v>
      </c>
      <c r="B904" s="116" t="str">
        <f t="shared" si="58"/>
        <v>379</v>
      </c>
      <c r="C904" s="50"/>
      <c r="D904" s="111"/>
      <c r="E904" s="113"/>
      <c r="F904" s="114"/>
      <c r="G904" s="181"/>
      <c r="H904" s="183" t="str">
        <f t="shared" ref="H904:H1038" si="59">Fill</f>
        <v>FF</v>
      </c>
      <c r="I904" s="112"/>
    </row>
    <row r="905" spans="1:9">
      <c r="A905" s="195">
        <f t="shared" si="57"/>
        <v>890</v>
      </c>
      <c r="B905" s="116" t="str">
        <f t="shared" si="58"/>
        <v>37A</v>
      </c>
      <c r="C905" s="50"/>
      <c r="D905" s="111"/>
      <c r="E905" s="113"/>
      <c r="F905" s="114"/>
      <c r="G905" s="181"/>
      <c r="H905" s="183" t="str">
        <f t="shared" si="59"/>
        <v>FF</v>
      </c>
      <c r="I905" s="112"/>
    </row>
    <row r="906" spans="1:9">
      <c r="A906" s="195">
        <f t="shared" si="57"/>
        <v>891</v>
      </c>
      <c r="B906" s="116" t="str">
        <f t="shared" si="58"/>
        <v>37B</v>
      </c>
      <c r="C906" s="50"/>
      <c r="D906" s="111"/>
      <c r="E906" s="113"/>
      <c r="F906" s="114"/>
      <c r="G906" s="181"/>
      <c r="H906" s="183" t="str">
        <f t="shared" si="59"/>
        <v>FF</v>
      </c>
      <c r="I906" s="112"/>
    </row>
    <row r="907" spans="1:9">
      <c r="A907" s="195">
        <f t="shared" si="57"/>
        <v>892</v>
      </c>
      <c r="B907" s="116" t="str">
        <f t="shared" si="58"/>
        <v>37C</v>
      </c>
      <c r="C907" s="50"/>
      <c r="D907" s="111"/>
      <c r="E907" s="113"/>
      <c r="F907" s="114"/>
      <c r="G907" s="181"/>
      <c r="H907" s="183" t="str">
        <f t="shared" si="59"/>
        <v>FF</v>
      </c>
      <c r="I907" s="112"/>
    </row>
    <row r="908" spans="1:9">
      <c r="A908" s="195">
        <f t="shared" si="57"/>
        <v>893</v>
      </c>
      <c r="B908" s="116" t="str">
        <f t="shared" si="58"/>
        <v>37D</v>
      </c>
      <c r="C908" s="50"/>
      <c r="D908" s="111"/>
      <c r="E908" s="113"/>
      <c r="F908" s="114"/>
      <c r="G908" s="181"/>
      <c r="H908" s="183" t="str">
        <f t="shared" si="59"/>
        <v>FF</v>
      </c>
      <c r="I908" s="112"/>
    </row>
    <row r="909" spans="1:9">
      <c r="A909" s="195">
        <f t="shared" si="57"/>
        <v>894</v>
      </c>
      <c r="B909" s="116" t="str">
        <f t="shared" si="58"/>
        <v>37E</v>
      </c>
      <c r="C909" s="50"/>
      <c r="D909" s="111"/>
      <c r="E909" s="113"/>
      <c r="F909" s="114"/>
      <c r="G909" s="181"/>
      <c r="H909" s="183" t="str">
        <f t="shared" si="59"/>
        <v>FF</v>
      </c>
      <c r="I909" s="112"/>
    </row>
    <row r="910" spans="1:9">
      <c r="A910" s="195">
        <f t="shared" si="57"/>
        <v>895</v>
      </c>
      <c r="B910" s="116" t="str">
        <f t="shared" si="58"/>
        <v>37F</v>
      </c>
      <c r="C910" s="50"/>
      <c r="D910" s="111"/>
      <c r="E910" s="113"/>
      <c r="F910" s="114"/>
      <c r="G910" s="181"/>
      <c r="H910" s="183" t="str">
        <f t="shared" si="59"/>
        <v>FF</v>
      </c>
      <c r="I910" s="112"/>
    </row>
    <row r="911" spans="1:9">
      <c r="A911" s="195">
        <f t="shared" si="57"/>
        <v>896</v>
      </c>
      <c r="B911" s="116" t="str">
        <f t="shared" si="58"/>
        <v>380</v>
      </c>
      <c r="C911" s="50"/>
      <c r="D911" s="111"/>
      <c r="E911" s="113"/>
      <c r="F911" s="114"/>
      <c r="G911" s="181"/>
      <c r="H911" s="183" t="str">
        <f t="shared" si="59"/>
        <v>FF</v>
      </c>
      <c r="I911" s="112"/>
    </row>
    <row r="912" spans="1:9">
      <c r="A912" s="195">
        <f t="shared" si="57"/>
        <v>897</v>
      </c>
      <c r="B912" s="116" t="str">
        <f t="shared" si="58"/>
        <v>381</v>
      </c>
      <c r="C912" s="50"/>
      <c r="D912" s="111"/>
      <c r="E912" s="113"/>
      <c r="F912" s="114"/>
      <c r="G912" s="181"/>
      <c r="H912" s="183" t="str">
        <f t="shared" si="59"/>
        <v>FF</v>
      </c>
      <c r="I912" s="112"/>
    </row>
    <row r="913" spans="1:9">
      <c r="A913" s="195">
        <f t="shared" si="57"/>
        <v>898</v>
      </c>
      <c r="B913" s="116" t="str">
        <f t="shared" si="58"/>
        <v>382</v>
      </c>
      <c r="C913" s="50"/>
      <c r="D913" s="111"/>
      <c r="E913" s="113"/>
      <c r="F913" s="114"/>
      <c r="G913" s="181"/>
      <c r="H913" s="183" t="str">
        <f t="shared" si="59"/>
        <v>FF</v>
      </c>
      <c r="I913" s="112"/>
    </row>
    <row r="914" spans="1:9">
      <c r="A914" s="195">
        <f t="shared" si="57"/>
        <v>899</v>
      </c>
      <c r="B914" s="116" t="str">
        <f t="shared" si="58"/>
        <v>383</v>
      </c>
      <c r="C914" s="50"/>
      <c r="D914" s="111"/>
      <c r="E914" s="113"/>
      <c r="F914" s="114"/>
      <c r="G914" s="181"/>
      <c r="H914" s="183" t="str">
        <f t="shared" si="59"/>
        <v>FF</v>
      </c>
      <c r="I914" s="112"/>
    </row>
    <row r="915" spans="1:9">
      <c r="A915" s="195">
        <f t="shared" si="57"/>
        <v>900</v>
      </c>
      <c r="B915" s="116" t="str">
        <f t="shared" si="58"/>
        <v>384</v>
      </c>
      <c r="C915" s="50"/>
      <c r="D915" s="111"/>
      <c r="E915" s="113"/>
      <c r="F915" s="114"/>
      <c r="G915" s="181"/>
      <c r="H915" s="183" t="str">
        <f t="shared" si="59"/>
        <v>FF</v>
      </c>
      <c r="I915" s="112"/>
    </row>
    <row r="916" spans="1:9">
      <c r="A916" s="195">
        <f t="shared" si="57"/>
        <v>901</v>
      </c>
      <c r="B916" s="116" t="str">
        <f t="shared" si="58"/>
        <v>385</v>
      </c>
      <c r="C916" s="50"/>
      <c r="D916" s="111"/>
      <c r="E916" s="113"/>
      <c r="F916" s="114"/>
      <c r="G916" s="181"/>
      <c r="H916" s="183" t="str">
        <f t="shared" si="59"/>
        <v>FF</v>
      </c>
      <c r="I916" s="112"/>
    </row>
    <row r="917" spans="1:9">
      <c r="A917" s="195">
        <f t="shared" si="57"/>
        <v>902</v>
      </c>
      <c r="B917" s="116" t="str">
        <f t="shared" si="58"/>
        <v>386</v>
      </c>
      <c r="C917" s="50"/>
      <c r="D917" s="111"/>
      <c r="E917" s="113"/>
      <c r="F917" s="114"/>
      <c r="G917" s="181"/>
      <c r="H917" s="183" t="str">
        <f t="shared" si="59"/>
        <v>FF</v>
      </c>
      <c r="I917" s="112"/>
    </row>
    <row r="918" spans="1:9">
      <c r="A918" s="195">
        <f t="shared" si="57"/>
        <v>903</v>
      </c>
      <c r="B918" s="116" t="str">
        <f t="shared" si="58"/>
        <v>387</v>
      </c>
      <c r="C918" s="50"/>
      <c r="D918" s="111"/>
      <c r="E918" s="113"/>
      <c r="F918" s="114"/>
      <c r="G918" s="181"/>
      <c r="H918" s="183" t="str">
        <f t="shared" si="59"/>
        <v>FF</v>
      </c>
      <c r="I918" s="112"/>
    </row>
    <row r="919" spans="1:9">
      <c r="A919" s="195">
        <f t="shared" si="57"/>
        <v>904</v>
      </c>
      <c r="B919" s="116" t="str">
        <f t="shared" si="58"/>
        <v>388</v>
      </c>
      <c r="C919" s="50"/>
      <c r="D919" s="111"/>
      <c r="E919" s="113"/>
      <c r="F919" s="114"/>
      <c r="G919" s="181"/>
      <c r="H919" s="183" t="str">
        <f t="shared" si="59"/>
        <v>FF</v>
      </c>
      <c r="I919" s="112"/>
    </row>
    <row r="920" spans="1:9">
      <c r="A920" s="195">
        <f t="shared" si="57"/>
        <v>905</v>
      </c>
      <c r="B920" s="116" t="str">
        <f t="shared" si="58"/>
        <v>389</v>
      </c>
      <c r="C920" s="50"/>
      <c r="D920" s="111"/>
      <c r="E920" s="113"/>
      <c r="F920" s="114"/>
      <c r="G920" s="181"/>
      <c r="H920" s="183" t="str">
        <f t="shared" si="59"/>
        <v>FF</v>
      </c>
      <c r="I920" s="112"/>
    </row>
    <row r="921" spans="1:9">
      <c r="A921" s="195">
        <f t="shared" si="57"/>
        <v>906</v>
      </c>
      <c r="B921" s="116" t="str">
        <f t="shared" si="58"/>
        <v>38A</v>
      </c>
      <c r="C921" s="50"/>
      <c r="D921" s="111"/>
      <c r="E921" s="113"/>
      <c r="F921" s="114"/>
      <c r="G921" s="181"/>
      <c r="H921" s="183" t="str">
        <f t="shared" si="59"/>
        <v>FF</v>
      </c>
      <c r="I921" s="112"/>
    </row>
    <row r="922" spans="1:9">
      <c r="A922" s="195">
        <f t="shared" si="57"/>
        <v>907</v>
      </c>
      <c r="B922" s="116" t="str">
        <f t="shared" si="58"/>
        <v>38B</v>
      </c>
      <c r="C922" s="50"/>
      <c r="D922" s="111"/>
      <c r="E922" s="113"/>
      <c r="F922" s="114"/>
      <c r="G922" s="181"/>
      <c r="H922" s="183" t="str">
        <f t="shared" si="59"/>
        <v>FF</v>
      </c>
      <c r="I922" s="112"/>
    </row>
    <row r="923" spans="1:9">
      <c r="A923" s="195">
        <f t="shared" ref="A923:A986" si="60">A922+(ROW()-ROW(A922))</f>
        <v>908</v>
      </c>
      <c r="B923" s="116" t="str">
        <f t="shared" si="58"/>
        <v>38C</v>
      </c>
      <c r="C923" s="50"/>
      <c r="D923" s="111"/>
      <c r="E923" s="113"/>
      <c r="F923" s="114"/>
      <c r="G923" s="181"/>
      <c r="H923" s="183" t="str">
        <f t="shared" si="59"/>
        <v>FF</v>
      </c>
      <c r="I923" s="112"/>
    </row>
    <row r="924" spans="1:9">
      <c r="A924" s="195">
        <f t="shared" si="60"/>
        <v>909</v>
      </c>
      <c r="B924" s="116" t="str">
        <f t="shared" si="58"/>
        <v>38D</v>
      </c>
      <c r="C924" s="50"/>
      <c r="D924" s="111"/>
      <c r="E924" s="113"/>
      <c r="F924" s="114"/>
      <c r="G924" s="181"/>
      <c r="H924" s="183" t="str">
        <f t="shared" si="59"/>
        <v>FF</v>
      </c>
      <c r="I924" s="112"/>
    </row>
    <row r="925" spans="1:9">
      <c r="A925" s="195">
        <f t="shared" si="60"/>
        <v>910</v>
      </c>
      <c r="B925" s="116" t="str">
        <f t="shared" si="58"/>
        <v>38E</v>
      </c>
      <c r="C925" s="50"/>
      <c r="D925" s="111"/>
      <c r="E925" s="113"/>
      <c r="F925" s="114"/>
      <c r="G925" s="181"/>
      <c r="H925" s="183" t="str">
        <f t="shared" si="59"/>
        <v>FF</v>
      </c>
      <c r="I925" s="112"/>
    </row>
    <row r="926" spans="1:9">
      <c r="A926" s="195">
        <f t="shared" si="60"/>
        <v>911</v>
      </c>
      <c r="B926" s="116" t="str">
        <f t="shared" si="58"/>
        <v>38F</v>
      </c>
      <c r="C926" s="50"/>
      <c r="D926" s="111"/>
      <c r="E926" s="113"/>
      <c r="F926" s="114"/>
      <c r="G926" s="181"/>
      <c r="H926" s="183" t="str">
        <f t="shared" si="59"/>
        <v>FF</v>
      </c>
      <c r="I926" s="112"/>
    </row>
    <row r="927" spans="1:9">
      <c r="A927" s="195">
        <f t="shared" si="60"/>
        <v>912</v>
      </c>
      <c r="B927" s="116" t="str">
        <f t="shared" si="58"/>
        <v>390</v>
      </c>
      <c r="C927" s="50"/>
      <c r="D927" s="111"/>
      <c r="E927" s="113"/>
      <c r="F927" s="114"/>
      <c r="G927" s="181"/>
      <c r="H927" s="183" t="str">
        <f t="shared" si="59"/>
        <v>FF</v>
      </c>
      <c r="I927" s="112"/>
    </row>
    <row r="928" spans="1:9">
      <c r="A928" s="195">
        <f t="shared" si="60"/>
        <v>913</v>
      </c>
      <c r="B928" s="116" t="str">
        <f t="shared" si="58"/>
        <v>391</v>
      </c>
      <c r="C928" s="50"/>
      <c r="D928" s="111"/>
      <c r="E928" s="113"/>
      <c r="F928" s="114"/>
      <c r="G928" s="181"/>
      <c r="H928" s="183" t="str">
        <f t="shared" si="59"/>
        <v>FF</v>
      </c>
      <c r="I928" s="112"/>
    </row>
    <row r="929" spans="1:9">
      <c r="A929" s="195">
        <f t="shared" si="60"/>
        <v>914</v>
      </c>
      <c r="B929" s="116" t="str">
        <f t="shared" si="58"/>
        <v>392</v>
      </c>
      <c r="C929" s="50"/>
      <c r="D929" s="111"/>
      <c r="E929" s="113"/>
      <c r="F929" s="114"/>
      <c r="G929" s="181"/>
      <c r="H929" s="183" t="str">
        <f t="shared" si="59"/>
        <v>FF</v>
      </c>
      <c r="I929" s="112"/>
    </row>
    <row r="930" spans="1:9">
      <c r="A930" s="195">
        <f t="shared" si="60"/>
        <v>915</v>
      </c>
      <c r="B930" s="116" t="str">
        <f t="shared" si="58"/>
        <v>393</v>
      </c>
      <c r="C930" s="50"/>
      <c r="D930" s="111"/>
      <c r="E930" s="113"/>
      <c r="F930" s="114"/>
      <c r="G930" s="181"/>
      <c r="H930" s="183" t="str">
        <f t="shared" si="59"/>
        <v>FF</v>
      </c>
      <c r="I930" s="112"/>
    </row>
    <row r="931" spans="1:9">
      <c r="A931" s="195">
        <f t="shared" si="60"/>
        <v>916</v>
      </c>
      <c r="B931" s="116" t="str">
        <f t="shared" si="58"/>
        <v>394</v>
      </c>
      <c r="C931" s="50"/>
      <c r="D931" s="111"/>
      <c r="E931" s="113"/>
      <c r="F931" s="114"/>
      <c r="G931" s="181"/>
      <c r="H931" s="183" t="str">
        <f t="shared" si="59"/>
        <v>FF</v>
      </c>
      <c r="I931" s="112"/>
    </row>
    <row r="932" spans="1:9">
      <c r="A932" s="195">
        <f t="shared" si="60"/>
        <v>917</v>
      </c>
      <c r="B932" s="116" t="str">
        <f t="shared" si="58"/>
        <v>395</v>
      </c>
      <c r="C932" s="50"/>
      <c r="D932" s="111"/>
      <c r="E932" s="113"/>
      <c r="F932" s="114"/>
      <c r="G932" s="181"/>
      <c r="H932" s="183" t="str">
        <f t="shared" si="59"/>
        <v>FF</v>
      </c>
      <c r="I932" s="112"/>
    </row>
    <row r="933" spans="1:9">
      <c r="A933" s="195">
        <f t="shared" si="60"/>
        <v>918</v>
      </c>
      <c r="B933" s="116" t="str">
        <f t="shared" si="58"/>
        <v>396</v>
      </c>
      <c r="C933" s="50"/>
      <c r="D933" s="111"/>
      <c r="E933" s="113"/>
      <c r="F933" s="114"/>
      <c r="G933" s="181"/>
      <c r="H933" s="183" t="str">
        <f t="shared" si="59"/>
        <v>FF</v>
      </c>
      <c r="I933" s="112"/>
    </row>
    <row r="934" spans="1:9">
      <c r="A934" s="195">
        <f t="shared" si="60"/>
        <v>919</v>
      </c>
      <c r="B934" s="116" t="str">
        <f t="shared" si="58"/>
        <v>397</v>
      </c>
      <c r="C934" s="50"/>
      <c r="D934" s="111"/>
      <c r="E934" s="113"/>
      <c r="F934" s="114"/>
      <c r="G934" s="181"/>
      <c r="H934" s="183" t="str">
        <f t="shared" si="59"/>
        <v>FF</v>
      </c>
      <c r="I934" s="112"/>
    </row>
    <row r="935" spans="1:9">
      <c r="A935" s="195">
        <f t="shared" si="60"/>
        <v>920</v>
      </c>
      <c r="B935" s="116" t="str">
        <f t="shared" si="58"/>
        <v>398</v>
      </c>
      <c r="C935" s="50"/>
      <c r="D935" s="111"/>
      <c r="E935" s="113"/>
      <c r="F935" s="114"/>
      <c r="G935" s="181"/>
      <c r="H935" s="183" t="str">
        <f t="shared" si="59"/>
        <v>FF</v>
      </c>
      <c r="I935" s="112"/>
    </row>
    <row r="936" spans="1:9">
      <c r="A936" s="195">
        <f t="shared" si="60"/>
        <v>921</v>
      </c>
      <c r="B936" s="116" t="str">
        <f t="shared" si="58"/>
        <v>399</v>
      </c>
      <c r="C936" s="50"/>
      <c r="D936" s="111"/>
      <c r="E936" s="113"/>
      <c r="F936" s="114"/>
      <c r="G936" s="181"/>
      <c r="H936" s="183" t="str">
        <f t="shared" si="59"/>
        <v>FF</v>
      </c>
      <c r="I936" s="112"/>
    </row>
    <row r="937" spans="1:9">
      <c r="A937" s="195">
        <f t="shared" si="60"/>
        <v>922</v>
      </c>
      <c r="B937" s="116" t="str">
        <f t="shared" si="58"/>
        <v>39A</v>
      </c>
      <c r="C937" s="50"/>
      <c r="D937" s="111"/>
      <c r="E937" s="113"/>
      <c r="F937" s="114"/>
      <c r="G937" s="181"/>
      <c r="H937" s="183" t="str">
        <f t="shared" si="59"/>
        <v>FF</v>
      </c>
      <c r="I937" s="112"/>
    </row>
    <row r="938" spans="1:9">
      <c r="A938" s="195">
        <f t="shared" si="60"/>
        <v>923</v>
      </c>
      <c r="B938" s="116" t="str">
        <f t="shared" si="58"/>
        <v>39B</v>
      </c>
      <c r="C938" s="50"/>
      <c r="D938" s="111"/>
      <c r="E938" s="113"/>
      <c r="F938" s="114"/>
      <c r="G938" s="181"/>
      <c r="H938" s="183" t="str">
        <f t="shared" si="59"/>
        <v>FF</v>
      </c>
      <c r="I938" s="112"/>
    </row>
    <row r="939" spans="1:9">
      <c r="A939" s="195">
        <f t="shared" si="60"/>
        <v>924</v>
      </c>
      <c r="B939" s="116" t="str">
        <f t="shared" si="58"/>
        <v>39C</v>
      </c>
      <c r="C939" s="50"/>
      <c r="D939" s="111"/>
      <c r="E939" s="113"/>
      <c r="F939" s="114"/>
      <c r="G939" s="181"/>
      <c r="H939" s="183" t="str">
        <f t="shared" si="59"/>
        <v>FF</v>
      </c>
      <c r="I939" s="112"/>
    </row>
    <row r="940" spans="1:9">
      <c r="A940" s="195">
        <f t="shared" si="60"/>
        <v>925</v>
      </c>
      <c r="B940" s="116" t="str">
        <f t="shared" si="58"/>
        <v>39D</v>
      </c>
      <c r="C940" s="50"/>
      <c r="D940" s="111"/>
      <c r="E940" s="113"/>
      <c r="F940" s="114"/>
      <c r="G940" s="181"/>
      <c r="H940" s="183" t="str">
        <f t="shared" si="59"/>
        <v>FF</v>
      </c>
      <c r="I940" s="112"/>
    </row>
    <row r="941" spans="1:9">
      <c r="A941" s="195">
        <f t="shared" si="60"/>
        <v>926</v>
      </c>
      <c r="B941" s="116" t="str">
        <f t="shared" si="58"/>
        <v>39E</v>
      </c>
      <c r="C941" s="50"/>
      <c r="D941" s="111"/>
      <c r="E941" s="113"/>
      <c r="F941" s="114"/>
      <c r="G941" s="181"/>
      <c r="H941" s="183" t="str">
        <f t="shared" si="59"/>
        <v>FF</v>
      </c>
      <c r="I941" s="112"/>
    </row>
    <row r="942" spans="1:9">
      <c r="A942" s="195">
        <f t="shared" si="60"/>
        <v>927</v>
      </c>
      <c r="B942" s="116" t="str">
        <f t="shared" si="58"/>
        <v>39F</v>
      </c>
      <c r="C942" s="50"/>
      <c r="D942" s="111"/>
      <c r="E942" s="113"/>
      <c r="F942" s="114"/>
      <c r="G942" s="181"/>
      <c r="H942" s="183" t="str">
        <f t="shared" si="59"/>
        <v>FF</v>
      </c>
      <c r="I942" s="112"/>
    </row>
    <row r="943" spans="1:9">
      <c r="A943" s="195">
        <f t="shared" si="60"/>
        <v>928</v>
      </c>
      <c r="B943" s="116" t="str">
        <f t="shared" si="58"/>
        <v>3A0</v>
      </c>
      <c r="C943" s="50"/>
      <c r="D943" s="111"/>
      <c r="E943" s="113"/>
      <c r="F943" s="114"/>
      <c r="G943" s="181"/>
      <c r="H943" s="183" t="str">
        <f t="shared" si="59"/>
        <v>FF</v>
      </c>
      <c r="I943" s="112"/>
    </row>
    <row r="944" spans="1:9">
      <c r="A944" s="195">
        <f t="shared" si="60"/>
        <v>929</v>
      </c>
      <c r="B944" s="116" t="str">
        <f t="shared" si="58"/>
        <v>3A1</v>
      </c>
      <c r="C944" s="50"/>
      <c r="D944" s="111"/>
      <c r="E944" s="113"/>
      <c r="F944" s="114"/>
      <c r="G944" s="181"/>
      <c r="H944" s="183" t="str">
        <f t="shared" si="59"/>
        <v>FF</v>
      </c>
      <c r="I944" s="112"/>
    </row>
    <row r="945" spans="1:9">
      <c r="A945" s="195">
        <f t="shared" si="60"/>
        <v>930</v>
      </c>
      <c r="B945" s="116" t="str">
        <f t="shared" si="58"/>
        <v>3A2</v>
      </c>
      <c r="C945" s="50"/>
      <c r="D945" s="111"/>
      <c r="E945" s="113"/>
      <c r="F945" s="114"/>
      <c r="G945" s="181"/>
      <c r="H945" s="183" t="str">
        <f t="shared" si="59"/>
        <v>FF</v>
      </c>
      <c r="I945" s="112"/>
    </row>
    <row r="946" spans="1:9">
      <c r="A946" s="195">
        <f t="shared" si="60"/>
        <v>931</v>
      </c>
      <c r="B946" s="116" t="str">
        <f t="shared" si="58"/>
        <v>3A3</v>
      </c>
      <c r="C946" s="50"/>
      <c r="D946" s="111"/>
      <c r="E946" s="113"/>
      <c r="F946" s="114"/>
      <c r="G946" s="181"/>
      <c r="H946" s="183" t="str">
        <f t="shared" si="59"/>
        <v>FF</v>
      </c>
      <c r="I946" s="112"/>
    </row>
    <row r="947" spans="1:9">
      <c r="A947" s="195">
        <f t="shared" si="60"/>
        <v>932</v>
      </c>
      <c r="B947" s="116" t="str">
        <f t="shared" si="58"/>
        <v>3A4</v>
      </c>
      <c r="C947" s="50"/>
      <c r="D947" s="111"/>
      <c r="E947" s="113"/>
      <c r="F947" s="114"/>
      <c r="G947" s="181"/>
      <c r="H947" s="183" t="str">
        <f t="shared" si="59"/>
        <v>FF</v>
      </c>
      <c r="I947" s="112"/>
    </row>
    <row r="948" spans="1:9">
      <c r="A948" s="195">
        <f t="shared" si="60"/>
        <v>933</v>
      </c>
      <c r="B948" s="116" t="str">
        <f t="shared" si="58"/>
        <v>3A5</v>
      </c>
      <c r="C948" s="50"/>
      <c r="D948" s="111"/>
      <c r="E948" s="113"/>
      <c r="F948" s="114"/>
      <c r="G948" s="181"/>
      <c r="H948" s="183" t="str">
        <f t="shared" si="59"/>
        <v>FF</v>
      </c>
      <c r="I948" s="112"/>
    </row>
    <row r="949" spans="1:9">
      <c r="A949" s="195">
        <f t="shared" si="60"/>
        <v>934</v>
      </c>
      <c r="B949" s="116" t="str">
        <f t="shared" si="58"/>
        <v>3A6</v>
      </c>
      <c r="C949" s="50"/>
      <c r="D949" s="111"/>
      <c r="E949" s="113"/>
      <c r="F949" s="114"/>
      <c r="G949" s="181"/>
      <c r="H949" s="183" t="str">
        <f t="shared" si="59"/>
        <v>FF</v>
      </c>
      <c r="I949" s="112"/>
    </row>
    <row r="950" spans="1:9">
      <c r="A950" s="195">
        <f t="shared" si="60"/>
        <v>935</v>
      </c>
      <c r="B950" s="116" t="str">
        <f t="shared" ref="B950:B1013" si="61">DEC2HEX(A950,3)</f>
        <v>3A7</v>
      </c>
      <c r="C950" s="50"/>
      <c r="D950" s="111"/>
      <c r="E950" s="113"/>
      <c r="F950" s="114"/>
      <c r="G950" s="181"/>
      <c r="H950" s="183" t="str">
        <f t="shared" si="59"/>
        <v>FF</v>
      </c>
      <c r="I950" s="112"/>
    </row>
    <row r="951" spans="1:9">
      <c r="A951" s="195">
        <f t="shared" si="60"/>
        <v>936</v>
      </c>
      <c r="B951" s="116" t="str">
        <f t="shared" si="61"/>
        <v>3A8</v>
      </c>
      <c r="C951" s="50"/>
      <c r="D951" s="111"/>
      <c r="E951" s="113"/>
      <c r="F951" s="114"/>
      <c r="G951" s="181"/>
      <c r="H951" s="183" t="str">
        <f t="shared" si="59"/>
        <v>FF</v>
      </c>
      <c r="I951" s="112"/>
    </row>
    <row r="952" spans="1:9">
      <c r="A952" s="195">
        <f t="shared" si="60"/>
        <v>937</v>
      </c>
      <c r="B952" s="116" t="str">
        <f t="shared" si="61"/>
        <v>3A9</v>
      </c>
      <c r="C952" s="50"/>
      <c r="D952" s="111"/>
      <c r="E952" s="113"/>
      <c r="F952" s="114"/>
      <c r="G952" s="181"/>
      <c r="H952" s="183" t="str">
        <f t="shared" si="59"/>
        <v>FF</v>
      </c>
      <c r="I952" s="112"/>
    </row>
    <row r="953" spans="1:9">
      <c r="A953" s="195">
        <f t="shared" si="60"/>
        <v>938</v>
      </c>
      <c r="B953" s="116" t="str">
        <f t="shared" si="61"/>
        <v>3AA</v>
      </c>
      <c r="C953" s="50"/>
      <c r="D953" s="111"/>
      <c r="E953" s="113"/>
      <c r="F953" s="114"/>
      <c r="G953" s="181"/>
      <c r="H953" s="183" t="str">
        <f t="shared" si="59"/>
        <v>FF</v>
      </c>
      <c r="I953" s="112"/>
    </row>
    <row r="954" spans="1:9">
      <c r="A954" s="195">
        <f t="shared" si="60"/>
        <v>939</v>
      </c>
      <c r="B954" s="116" t="str">
        <f t="shared" si="61"/>
        <v>3AB</v>
      </c>
      <c r="C954" s="50"/>
      <c r="D954" s="111"/>
      <c r="E954" s="113"/>
      <c r="F954" s="114"/>
      <c r="G954" s="181"/>
      <c r="H954" s="183" t="str">
        <f t="shared" si="59"/>
        <v>FF</v>
      </c>
      <c r="I954" s="112"/>
    </row>
    <row r="955" spans="1:9">
      <c r="A955" s="195">
        <f t="shared" si="60"/>
        <v>940</v>
      </c>
      <c r="B955" s="116" t="str">
        <f t="shared" si="61"/>
        <v>3AC</v>
      </c>
      <c r="C955" s="50"/>
      <c r="D955" s="111"/>
      <c r="E955" s="113"/>
      <c r="F955" s="114"/>
      <c r="G955" s="181"/>
      <c r="H955" s="183" t="str">
        <f t="shared" si="59"/>
        <v>FF</v>
      </c>
      <c r="I955" s="112"/>
    </row>
    <row r="956" spans="1:9">
      <c r="A956" s="195">
        <f t="shared" si="60"/>
        <v>941</v>
      </c>
      <c r="B956" s="116" t="str">
        <f t="shared" si="61"/>
        <v>3AD</v>
      </c>
      <c r="C956" s="50"/>
      <c r="D956" s="111"/>
      <c r="E956" s="113"/>
      <c r="F956" s="114"/>
      <c r="G956" s="181"/>
      <c r="H956" s="183" t="str">
        <f t="shared" si="59"/>
        <v>FF</v>
      </c>
      <c r="I956" s="112"/>
    </row>
    <row r="957" spans="1:9">
      <c r="A957" s="195">
        <f t="shared" si="60"/>
        <v>942</v>
      </c>
      <c r="B957" s="116" t="str">
        <f t="shared" si="61"/>
        <v>3AE</v>
      </c>
      <c r="C957" s="50"/>
      <c r="D957" s="111"/>
      <c r="E957" s="113"/>
      <c r="F957" s="114"/>
      <c r="G957" s="181"/>
      <c r="H957" s="183" t="str">
        <f t="shared" si="59"/>
        <v>FF</v>
      </c>
      <c r="I957" s="112"/>
    </row>
    <row r="958" spans="1:9">
      <c r="A958" s="195">
        <f t="shared" si="60"/>
        <v>943</v>
      </c>
      <c r="B958" s="116" t="str">
        <f t="shared" si="61"/>
        <v>3AF</v>
      </c>
      <c r="C958" s="50"/>
      <c r="D958" s="111"/>
      <c r="E958" s="113"/>
      <c r="F958" s="114"/>
      <c r="G958" s="181"/>
      <c r="H958" s="183" t="str">
        <f t="shared" si="59"/>
        <v>FF</v>
      </c>
      <c r="I958" s="112"/>
    </row>
    <row r="959" spans="1:9">
      <c r="A959" s="195">
        <f t="shared" si="60"/>
        <v>944</v>
      </c>
      <c r="B959" s="116" t="str">
        <f t="shared" si="61"/>
        <v>3B0</v>
      </c>
      <c r="C959" s="50"/>
      <c r="D959" s="111"/>
      <c r="E959" s="113"/>
      <c r="F959" s="114"/>
      <c r="G959" s="181"/>
      <c r="H959" s="183" t="str">
        <f t="shared" si="59"/>
        <v>FF</v>
      </c>
      <c r="I959" s="112"/>
    </row>
    <row r="960" spans="1:9">
      <c r="A960" s="195">
        <f t="shared" si="60"/>
        <v>945</v>
      </c>
      <c r="B960" s="116" t="str">
        <f t="shared" si="61"/>
        <v>3B1</v>
      </c>
      <c r="C960" s="50"/>
      <c r="D960" s="111"/>
      <c r="E960" s="113"/>
      <c r="F960" s="114"/>
      <c r="G960" s="181"/>
      <c r="H960" s="183" t="str">
        <f t="shared" si="59"/>
        <v>FF</v>
      </c>
      <c r="I960" s="112"/>
    </row>
    <row r="961" spans="1:9" ht="15" customHeight="1">
      <c r="A961" s="195">
        <f t="shared" si="60"/>
        <v>946</v>
      </c>
      <c r="B961" s="116" t="str">
        <f t="shared" si="61"/>
        <v>3B2</v>
      </c>
      <c r="C961" s="50"/>
      <c r="D961" s="111"/>
      <c r="E961" s="113"/>
      <c r="F961" s="114"/>
      <c r="G961" s="181"/>
      <c r="H961" s="183" t="str">
        <f t="shared" si="59"/>
        <v>FF</v>
      </c>
      <c r="I961" s="112"/>
    </row>
    <row r="962" spans="1:9" ht="15" customHeight="1">
      <c r="A962" s="195">
        <f t="shared" si="60"/>
        <v>947</v>
      </c>
      <c r="B962" s="116" t="str">
        <f t="shared" si="61"/>
        <v>3B3</v>
      </c>
      <c r="C962" s="50"/>
      <c r="D962" s="111"/>
      <c r="E962" s="113"/>
      <c r="F962" s="114"/>
      <c r="G962" s="181"/>
      <c r="H962" s="183" t="str">
        <f t="shared" si="59"/>
        <v>FF</v>
      </c>
      <c r="I962" s="112"/>
    </row>
    <row r="963" spans="1:9" ht="15" customHeight="1">
      <c r="A963" s="195">
        <f t="shared" si="60"/>
        <v>948</v>
      </c>
      <c r="B963" s="116" t="str">
        <f t="shared" si="61"/>
        <v>3B4</v>
      </c>
      <c r="C963" s="50"/>
      <c r="D963" s="111"/>
      <c r="E963" s="113"/>
      <c r="F963" s="114"/>
      <c r="G963" s="181"/>
      <c r="H963" s="183" t="str">
        <f t="shared" si="59"/>
        <v>FF</v>
      </c>
      <c r="I963" s="112"/>
    </row>
    <row r="964" spans="1:9" ht="15" customHeight="1">
      <c r="A964" s="195">
        <f t="shared" si="60"/>
        <v>949</v>
      </c>
      <c r="B964" s="116" t="str">
        <f t="shared" si="61"/>
        <v>3B5</v>
      </c>
      <c r="C964" s="50"/>
      <c r="D964" s="111"/>
      <c r="E964" s="113"/>
      <c r="F964" s="114"/>
      <c r="G964" s="181"/>
      <c r="H964" s="183" t="str">
        <f t="shared" si="59"/>
        <v>FF</v>
      </c>
      <c r="I964" s="112"/>
    </row>
    <row r="965" spans="1:9" ht="15" customHeight="1">
      <c r="A965" s="195">
        <f t="shared" si="60"/>
        <v>950</v>
      </c>
      <c r="B965" s="116" t="str">
        <f t="shared" si="61"/>
        <v>3B6</v>
      </c>
      <c r="C965" s="50"/>
      <c r="D965" s="111"/>
      <c r="E965" s="113"/>
      <c r="F965" s="114"/>
      <c r="G965" s="181"/>
      <c r="H965" s="183" t="str">
        <f t="shared" si="59"/>
        <v>FF</v>
      </c>
      <c r="I965" s="112"/>
    </row>
    <row r="966" spans="1:9" ht="15" customHeight="1">
      <c r="A966" s="195">
        <f t="shared" si="60"/>
        <v>951</v>
      </c>
      <c r="B966" s="116" t="str">
        <f t="shared" si="61"/>
        <v>3B7</v>
      </c>
      <c r="C966" s="50"/>
      <c r="D966" s="111"/>
      <c r="E966" s="113"/>
      <c r="F966" s="114"/>
      <c r="G966" s="181"/>
      <c r="H966" s="183" t="str">
        <f t="shared" si="59"/>
        <v>FF</v>
      </c>
      <c r="I966" s="112"/>
    </row>
    <row r="967" spans="1:9" ht="15" customHeight="1">
      <c r="A967" s="195">
        <f t="shared" si="60"/>
        <v>952</v>
      </c>
      <c r="B967" s="116" t="str">
        <f t="shared" si="61"/>
        <v>3B8</v>
      </c>
      <c r="C967" s="50"/>
      <c r="D967" s="111"/>
      <c r="E967" s="113"/>
      <c r="F967" s="114"/>
      <c r="G967" s="181"/>
      <c r="H967" s="183" t="str">
        <f t="shared" si="59"/>
        <v>FF</v>
      </c>
      <c r="I967" s="112"/>
    </row>
    <row r="968" spans="1:9" ht="15" customHeight="1">
      <c r="A968" s="195">
        <f t="shared" si="60"/>
        <v>953</v>
      </c>
      <c r="B968" s="116" t="str">
        <f t="shared" si="61"/>
        <v>3B9</v>
      </c>
      <c r="C968" s="50"/>
      <c r="D968" s="111"/>
      <c r="E968" s="113"/>
      <c r="F968" s="114"/>
      <c r="G968" s="181"/>
      <c r="H968" s="183" t="str">
        <f t="shared" si="59"/>
        <v>FF</v>
      </c>
      <c r="I968" s="112"/>
    </row>
    <row r="969" spans="1:9" ht="15" customHeight="1">
      <c r="A969" s="195">
        <f t="shared" si="60"/>
        <v>954</v>
      </c>
      <c r="B969" s="116" t="str">
        <f t="shared" si="61"/>
        <v>3BA</v>
      </c>
      <c r="C969" s="50"/>
      <c r="D969" s="111"/>
      <c r="E969" s="113"/>
      <c r="F969" s="114"/>
      <c r="G969" s="181"/>
      <c r="H969" s="183" t="str">
        <f t="shared" si="59"/>
        <v>FF</v>
      </c>
      <c r="I969" s="112"/>
    </row>
    <row r="970" spans="1:9" ht="15" customHeight="1">
      <c r="A970" s="195">
        <f t="shared" si="60"/>
        <v>955</v>
      </c>
      <c r="B970" s="116" t="str">
        <f t="shared" si="61"/>
        <v>3BB</v>
      </c>
      <c r="C970" s="50"/>
      <c r="D970" s="111"/>
      <c r="E970" s="113"/>
      <c r="F970" s="114"/>
      <c r="G970" s="181"/>
      <c r="H970" s="183" t="str">
        <f t="shared" si="59"/>
        <v>FF</v>
      </c>
      <c r="I970" s="112"/>
    </row>
    <row r="971" spans="1:9" ht="15" customHeight="1">
      <c r="A971" s="195">
        <f t="shared" si="60"/>
        <v>956</v>
      </c>
      <c r="B971" s="116" t="str">
        <f t="shared" si="61"/>
        <v>3BC</v>
      </c>
      <c r="C971" s="50"/>
      <c r="D971" s="111"/>
      <c r="E971" s="113"/>
      <c r="F971" s="114"/>
      <c r="G971" s="181"/>
      <c r="H971" s="183" t="str">
        <f t="shared" si="59"/>
        <v>FF</v>
      </c>
      <c r="I971" s="112"/>
    </row>
    <row r="972" spans="1:9" ht="15" customHeight="1">
      <c r="A972" s="195">
        <f t="shared" si="60"/>
        <v>957</v>
      </c>
      <c r="B972" s="116" t="str">
        <f t="shared" si="61"/>
        <v>3BD</v>
      </c>
      <c r="C972" s="50"/>
      <c r="D972" s="111"/>
      <c r="E972" s="113"/>
      <c r="F972" s="114"/>
      <c r="G972" s="181"/>
      <c r="H972" s="183" t="str">
        <f t="shared" si="59"/>
        <v>FF</v>
      </c>
      <c r="I972" s="112"/>
    </row>
    <row r="973" spans="1:9" ht="15" customHeight="1">
      <c r="A973" s="195">
        <f t="shared" si="60"/>
        <v>958</v>
      </c>
      <c r="B973" s="116" t="str">
        <f t="shared" si="61"/>
        <v>3BE</v>
      </c>
      <c r="C973" s="50"/>
      <c r="D973" s="111"/>
      <c r="E973" s="113"/>
      <c r="F973" s="114"/>
      <c r="G973" s="181"/>
      <c r="H973" s="183" t="str">
        <f t="shared" si="59"/>
        <v>FF</v>
      </c>
      <c r="I973" s="112"/>
    </row>
    <row r="974" spans="1:9" ht="15" customHeight="1">
      <c r="A974" s="195">
        <f t="shared" si="60"/>
        <v>959</v>
      </c>
      <c r="B974" s="116" t="str">
        <f t="shared" si="61"/>
        <v>3BF</v>
      </c>
      <c r="C974" s="50"/>
      <c r="D974" s="111"/>
      <c r="E974" s="113"/>
      <c r="F974" s="114"/>
      <c r="G974" s="181"/>
      <c r="H974" s="183" t="str">
        <f t="shared" si="59"/>
        <v>FF</v>
      </c>
      <c r="I974" s="112"/>
    </row>
    <row r="975" spans="1:9" ht="15" customHeight="1">
      <c r="A975" s="195">
        <f t="shared" si="60"/>
        <v>960</v>
      </c>
      <c r="B975" s="116" t="str">
        <f t="shared" si="61"/>
        <v>3C0</v>
      </c>
      <c r="C975" s="50"/>
      <c r="D975" s="111"/>
      <c r="E975" s="113"/>
      <c r="F975" s="114"/>
      <c r="G975" s="181"/>
      <c r="H975" s="183" t="str">
        <f t="shared" si="59"/>
        <v>FF</v>
      </c>
      <c r="I975" s="112"/>
    </row>
    <row r="976" spans="1:9" ht="15" customHeight="1">
      <c r="A976" s="195">
        <f t="shared" si="60"/>
        <v>961</v>
      </c>
      <c r="B976" s="116" t="str">
        <f t="shared" si="61"/>
        <v>3C1</v>
      </c>
      <c r="C976" s="50"/>
      <c r="D976" s="111"/>
      <c r="E976" s="113"/>
      <c r="F976" s="114"/>
      <c r="G976" s="181"/>
      <c r="H976" s="183" t="str">
        <f t="shared" si="59"/>
        <v>FF</v>
      </c>
      <c r="I976" s="112"/>
    </row>
    <row r="977" spans="1:9" ht="15" customHeight="1">
      <c r="A977" s="195">
        <f t="shared" si="60"/>
        <v>962</v>
      </c>
      <c r="B977" s="116" t="str">
        <f t="shared" si="61"/>
        <v>3C2</v>
      </c>
      <c r="C977" s="50"/>
      <c r="D977" s="111"/>
      <c r="E977" s="113"/>
      <c r="F977" s="114"/>
      <c r="G977" s="181"/>
      <c r="H977" s="183" t="str">
        <f t="shared" si="59"/>
        <v>FF</v>
      </c>
      <c r="I977" s="112"/>
    </row>
    <row r="978" spans="1:9" ht="15" customHeight="1">
      <c r="A978" s="195">
        <f t="shared" si="60"/>
        <v>963</v>
      </c>
      <c r="B978" s="116" t="str">
        <f t="shared" si="61"/>
        <v>3C3</v>
      </c>
      <c r="C978" s="50"/>
      <c r="D978" s="111"/>
      <c r="E978" s="113"/>
      <c r="F978" s="114"/>
      <c r="G978" s="181"/>
      <c r="H978" s="183" t="str">
        <f t="shared" si="59"/>
        <v>FF</v>
      </c>
      <c r="I978" s="112"/>
    </row>
    <row r="979" spans="1:9" ht="15" customHeight="1">
      <c r="A979" s="195">
        <f t="shared" si="60"/>
        <v>964</v>
      </c>
      <c r="B979" s="116" t="str">
        <f t="shared" si="61"/>
        <v>3C4</v>
      </c>
      <c r="C979" s="50"/>
      <c r="D979" s="111"/>
      <c r="E979" s="113"/>
      <c r="F979" s="114"/>
      <c r="G979" s="181"/>
      <c r="H979" s="183" t="str">
        <f t="shared" si="59"/>
        <v>FF</v>
      </c>
      <c r="I979" s="112"/>
    </row>
    <row r="980" spans="1:9" ht="15" customHeight="1">
      <c r="A980" s="195">
        <f t="shared" si="60"/>
        <v>965</v>
      </c>
      <c r="B980" s="116" t="str">
        <f t="shared" si="61"/>
        <v>3C5</v>
      </c>
      <c r="C980" s="50"/>
      <c r="D980" s="111"/>
      <c r="E980" s="113"/>
      <c r="F980" s="114"/>
      <c r="G980" s="181"/>
      <c r="H980" s="183" t="str">
        <f t="shared" si="59"/>
        <v>FF</v>
      </c>
      <c r="I980" s="112"/>
    </row>
    <row r="981" spans="1:9" ht="15" customHeight="1">
      <c r="A981" s="195">
        <f t="shared" si="60"/>
        <v>966</v>
      </c>
      <c r="B981" s="116" t="str">
        <f t="shared" si="61"/>
        <v>3C6</v>
      </c>
      <c r="C981" s="50"/>
      <c r="D981" s="111"/>
      <c r="E981" s="113"/>
      <c r="F981" s="114"/>
      <c r="G981" s="181"/>
      <c r="H981" s="183" t="str">
        <f t="shared" si="59"/>
        <v>FF</v>
      </c>
      <c r="I981" s="112"/>
    </row>
    <row r="982" spans="1:9" ht="15" customHeight="1">
      <c r="A982" s="195">
        <f t="shared" si="60"/>
        <v>967</v>
      </c>
      <c r="B982" s="116" t="str">
        <f t="shared" si="61"/>
        <v>3C7</v>
      </c>
      <c r="C982" s="50"/>
      <c r="D982" s="111"/>
      <c r="E982" s="113"/>
      <c r="F982" s="114"/>
      <c r="G982" s="181"/>
      <c r="H982" s="183" t="str">
        <f t="shared" si="59"/>
        <v>FF</v>
      </c>
      <c r="I982" s="112"/>
    </row>
    <row r="983" spans="1:9" ht="15" customHeight="1">
      <c r="A983" s="195">
        <f t="shared" si="60"/>
        <v>968</v>
      </c>
      <c r="B983" s="116" t="str">
        <f t="shared" si="61"/>
        <v>3C8</v>
      </c>
      <c r="C983" s="50"/>
      <c r="D983" s="111"/>
      <c r="E983" s="113"/>
      <c r="F983" s="114"/>
      <c r="G983" s="181"/>
      <c r="H983" s="183" t="str">
        <f t="shared" si="59"/>
        <v>FF</v>
      </c>
      <c r="I983" s="112"/>
    </row>
    <row r="984" spans="1:9" ht="15" customHeight="1">
      <c r="A984" s="195">
        <f t="shared" si="60"/>
        <v>969</v>
      </c>
      <c r="B984" s="116" t="str">
        <f t="shared" si="61"/>
        <v>3C9</v>
      </c>
      <c r="C984" s="50"/>
      <c r="D984" s="111"/>
      <c r="E984" s="113"/>
      <c r="F984" s="114"/>
      <c r="G984" s="181"/>
      <c r="H984" s="183" t="str">
        <f t="shared" si="59"/>
        <v>FF</v>
      </c>
      <c r="I984" s="112"/>
    </row>
    <row r="985" spans="1:9" ht="15" customHeight="1">
      <c r="A985" s="195">
        <f t="shared" si="60"/>
        <v>970</v>
      </c>
      <c r="B985" s="116" t="str">
        <f t="shared" si="61"/>
        <v>3CA</v>
      </c>
      <c r="C985" s="50"/>
      <c r="D985" s="111"/>
      <c r="E985" s="113"/>
      <c r="F985" s="114"/>
      <c r="G985" s="181"/>
      <c r="H985" s="183" t="str">
        <f t="shared" si="59"/>
        <v>FF</v>
      </c>
      <c r="I985" s="112"/>
    </row>
    <row r="986" spans="1:9" ht="15" customHeight="1">
      <c r="A986" s="195">
        <f t="shared" si="60"/>
        <v>971</v>
      </c>
      <c r="B986" s="116" t="str">
        <f t="shared" si="61"/>
        <v>3CB</v>
      </c>
      <c r="C986" s="50"/>
      <c r="D986" s="111"/>
      <c r="E986" s="113"/>
      <c r="F986" s="114"/>
      <c r="G986" s="181"/>
      <c r="H986" s="183" t="str">
        <f t="shared" si="59"/>
        <v>FF</v>
      </c>
      <c r="I986" s="112"/>
    </row>
    <row r="987" spans="1:9" ht="15" customHeight="1">
      <c r="A987" s="195">
        <f t="shared" ref="A987:A1038" si="62">A986+(ROW()-ROW(A986))</f>
        <v>972</v>
      </c>
      <c r="B987" s="116" t="str">
        <f t="shared" si="61"/>
        <v>3CC</v>
      </c>
      <c r="C987" s="50"/>
      <c r="D987" s="111"/>
      <c r="E987" s="113"/>
      <c r="F987" s="114"/>
      <c r="G987" s="181"/>
      <c r="H987" s="183" t="str">
        <f t="shared" si="59"/>
        <v>FF</v>
      </c>
      <c r="I987" s="112"/>
    </row>
    <row r="988" spans="1:9" ht="15" customHeight="1">
      <c r="A988" s="195">
        <f t="shared" si="62"/>
        <v>973</v>
      </c>
      <c r="B988" s="116" t="str">
        <f t="shared" si="61"/>
        <v>3CD</v>
      </c>
      <c r="C988" s="50"/>
      <c r="D988" s="111"/>
      <c r="E988" s="113"/>
      <c r="F988" s="114"/>
      <c r="G988" s="181"/>
      <c r="H988" s="183" t="str">
        <f t="shared" si="59"/>
        <v>FF</v>
      </c>
      <c r="I988" s="112"/>
    </row>
    <row r="989" spans="1:9" ht="15" customHeight="1">
      <c r="A989" s="195">
        <f t="shared" si="62"/>
        <v>974</v>
      </c>
      <c r="B989" s="116" t="str">
        <f t="shared" si="61"/>
        <v>3CE</v>
      </c>
      <c r="C989" s="50"/>
      <c r="D989" s="111"/>
      <c r="E989" s="113"/>
      <c r="F989" s="114"/>
      <c r="G989" s="181"/>
      <c r="H989" s="183" t="str">
        <f t="shared" si="59"/>
        <v>FF</v>
      </c>
      <c r="I989" s="112"/>
    </row>
    <row r="990" spans="1:9">
      <c r="A990" s="195">
        <f t="shared" si="62"/>
        <v>975</v>
      </c>
      <c r="B990" s="116" t="str">
        <f t="shared" si="61"/>
        <v>3CF</v>
      </c>
      <c r="C990" s="50"/>
      <c r="D990" s="111"/>
      <c r="E990" s="113"/>
      <c r="F990" s="114"/>
      <c r="G990" s="181"/>
      <c r="H990" s="183" t="str">
        <f t="shared" si="59"/>
        <v>FF</v>
      </c>
      <c r="I990" s="112"/>
    </row>
    <row r="991" spans="1:9">
      <c r="A991" s="195">
        <f t="shared" si="62"/>
        <v>976</v>
      </c>
      <c r="B991" s="116" t="str">
        <f t="shared" si="61"/>
        <v>3D0</v>
      </c>
      <c r="C991" s="50"/>
      <c r="D991" s="111"/>
      <c r="E991" s="113"/>
      <c r="F991" s="114"/>
      <c r="G991" s="181"/>
      <c r="H991" s="183" t="str">
        <f t="shared" si="59"/>
        <v>FF</v>
      </c>
      <c r="I991" s="112"/>
    </row>
    <row r="992" spans="1:9" ht="15" customHeight="1">
      <c r="A992" s="195">
        <f t="shared" si="62"/>
        <v>977</v>
      </c>
      <c r="B992" s="116" t="str">
        <f t="shared" si="61"/>
        <v>3D1</v>
      </c>
      <c r="C992" s="50"/>
      <c r="D992" s="111"/>
      <c r="E992" s="113"/>
      <c r="F992" s="114"/>
      <c r="G992" s="181"/>
      <c r="H992" s="183" t="str">
        <f t="shared" si="59"/>
        <v>FF</v>
      </c>
      <c r="I992" s="112"/>
    </row>
    <row r="993" spans="1:9" ht="15" customHeight="1">
      <c r="A993" s="195">
        <f t="shared" si="62"/>
        <v>978</v>
      </c>
      <c r="B993" s="116" t="str">
        <f t="shared" si="61"/>
        <v>3D2</v>
      </c>
      <c r="C993" s="50"/>
      <c r="D993" s="111"/>
      <c r="E993" s="113"/>
      <c r="F993" s="114"/>
      <c r="G993" s="181"/>
      <c r="H993" s="183" t="str">
        <f t="shared" si="59"/>
        <v>FF</v>
      </c>
      <c r="I993" s="112"/>
    </row>
    <row r="994" spans="1:9" ht="15" customHeight="1">
      <c r="A994" s="195">
        <f t="shared" si="62"/>
        <v>979</v>
      </c>
      <c r="B994" s="116" t="str">
        <f t="shared" si="61"/>
        <v>3D3</v>
      </c>
      <c r="C994" s="50"/>
      <c r="D994" s="111"/>
      <c r="E994" s="113"/>
      <c r="F994" s="114"/>
      <c r="G994" s="181"/>
      <c r="H994" s="183" t="str">
        <f t="shared" si="59"/>
        <v>FF</v>
      </c>
      <c r="I994" s="112"/>
    </row>
    <row r="995" spans="1:9" ht="15" customHeight="1">
      <c r="A995" s="195">
        <f t="shared" si="62"/>
        <v>980</v>
      </c>
      <c r="B995" s="116" t="str">
        <f t="shared" si="61"/>
        <v>3D4</v>
      </c>
      <c r="C995" s="50"/>
      <c r="D995" s="111"/>
      <c r="E995" s="113"/>
      <c r="F995" s="114"/>
      <c r="G995" s="181"/>
      <c r="H995" s="183" t="str">
        <f t="shared" si="59"/>
        <v>FF</v>
      </c>
      <c r="I995" s="112"/>
    </row>
    <row r="996" spans="1:9" ht="15" customHeight="1">
      <c r="A996" s="195">
        <f t="shared" si="62"/>
        <v>981</v>
      </c>
      <c r="B996" s="116" t="str">
        <f t="shared" si="61"/>
        <v>3D5</v>
      </c>
      <c r="C996" s="50"/>
      <c r="D996" s="111"/>
      <c r="E996" s="113"/>
      <c r="F996" s="114"/>
      <c r="G996" s="181"/>
      <c r="H996" s="183" t="str">
        <f t="shared" si="59"/>
        <v>FF</v>
      </c>
      <c r="I996" s="112"/>
    </row>
    <row r="997" spans="1:9" ht="15" customHeight="1">
      <c r="A997" s="195">
        <f t="shared" si="62"/>
        <v>982</v>
      </c>
      <c r="B997" s="116" t="str">
        <f t="shared" si="61"/>
        <v>3D6</v>
      </c>
      <c r="C997" s="50"/>
      <c r="D997" s="111"/>
      <c r="E997" s="113"/>
      <c r="F997" s="114"/>
      <c r="G997" s="181"/>
      <c r="H997" s="183" t="str">
        <f t="shared" si="59"/>
        <v>FF</v>
      </c>
      <c r="I997" s="112"/>
    </row>
    <row r="998" spans="1:9" ht="15" customHeight="1">
      <c r="A998" s="195">
        <f t="shared" si="62"/>
        <v>983</v>
      </c>
      <c r="B998" s="116" t="str">
        <f t="shared" si="61"/>
        <v>3D7</v>
      </c>
      <c r="C998" s="50"/>
      <c r="D998" s="111"/>
      <c r="E998" s="113"/>
      <c r="F998" s="114"/>
      <c r="G998" s="181"/>
      <c r="H998" s="183" t="str">
        <f t="shared" si="59"/>
        <v>FF</v>
      </c>
      <c r="I998" s="112"/>
    </row>
    <row r="999" spans="1:9" ht="15" customHeight="1">
      <c r="A999" s="195">
        <f t="shared" si="62"/>
        <v>984</v>
      </c>
      <c r="B999" s="116" t="str">
        <f t="shared" si="61"/>
        <v>3D8</v>
      </c>
      <c r="C999" s="50"/>
      <c r="D999" s="111"/>
      <c r="E999" s="113"/>
      <c r="F999" s="114"/>
      <c r="G999" s="181"/>
      <c r="H999" s="183" t="str">
        <f t="shared" si="59"/>
        <v>FF</v>
      </c>
      <c r="I999" s="112"/>
    </row>
    <row r="1000" spans="1:9" ht="15" customHeight="1">
      <c r="A1000" s="195">
        <f t="shared" si="62"/>
        <v>985</v>
      </c>
      <c r="B1000" s="116" t="str">
        <f t="shared" si="61"/>
        <v>3D9</v>
      </c>
      <c r="C1000" s="50"/>
      <c r="D1000" s="111"/>
      <c r="E1000" s="113"/>
      <c r="F1000" s="114"/>
      <c r="G1000" s="181"/>
      <c r="H1000" s="183" t="str">
        <f t="shared" si="59"/>
        <v>FF</v>
      </c>
      <c r="I1000" s="112"/>
    </row>
    <row r="1001" spans="1:9" ht="15" customHeight="1">
      <c r="A1001" s="195">
        <f t="shared" si="62"/>
        <v>986</v>
      </c>
      <c r="B1001" s="116" t="str">
        <f t="shared" si="61"/>
        <v>3DA</v>
      </c>
      <c r="C1001" s="50"/>
      <c r="D1001" s="111"/>
      <c r="E1001" s="113"/>
      <c r="F1001" s="114"/>
      <c r="G1001" s="181"/>
      <c r="H1001" s="183" t="str">
        <f t="shared" si="59"/>
        <v>FF</v>
      </c>
      <c r="I1001" s="112"/>
    </row>
    <row r="1002" spans="1:9" ht="15" customHeight="1">
      <c r="A1002" s="195">
        <f t="shared" si="62"/>
        <v>987</v>
      </c>
      <c r="B1002" s="116" t="str">
        <f t="shared" si="61"/>
        <v>3DB</v>
      </c>
      <c r="C1002" s="50"/>
      <c r="D1002" s="111"/>
      <c r="E1002" s="113"/>
      <c r="F1002" s="114"/>
      <c r="G1002" s="181"/>
      <c r="H1002" s="183" t="str">
        <f t="shared" si="59"/>
        <v>FF</v>
      </c>
      <c r="I1002" s="112"/>
    </row>
    <row r="1003" spans="1:9" ht="15" customHeight="1">
      <c r="A1003" s="195">
        <f t="shared" si="62"/>
        <v>988</v>
      </c>
      <c r="B1003" s="116" t="str">
        <f t="shared" si="61"/>
        <v>3DC</v>
      </c>
      <c r="C1003" s="50"/>
      <c r="D1003" s="111"/>
      <c r="E1003" s="113"/>
      <c r="F1003" s="114"/>
      <c r="G1003" s="181"/>
      <c r="H1003" s="183" t="str">
        <f t="shared" si="59"/>
        <v>FF</v>
      </c>
      <c r="I1003" s="112"/>
    </row>
    <row r="1004" spans="1:9" ht="15" customHeight="1">
      <c r="A1004" s="195">
        <f t="shared" si="62"/>
        <v>989</v>
      </c>
      <c r="B1004" s="116" t="str">
        <f t="shared" si="61"/>
        <v>3DD</v>
      </c>
      <c r="C1004" s="50"/>
      <c r="D1004" s="111"/>
      <c r="E1004" s="113"/>
      <c r="F1004" s="114"/>
      <c r="G1004" s="181"/>
      <c r="H1004" s="183" t="str">
        <f t="shared" si="59"/>
        <v>FF</v>
      </c>
      <c r="I1004" s="112"/>
    </row>
    <row r="1005" spans="1:9">
      <c r="A1005" s="195">
        <f t="shared" si="62"/>
        <v>990</v>
      </c>
      <c r="B1005" s="116" t="str">
        <f t="shared" si="61"/>
        <v>3DE</v>
      </c>
      <c r="C1005" s="50"/>
      <c r="D1005" s="111"/>
      <c r="E1005" s="113"/>
      <c r="F1005" s="114"/>
      <c r="G1005" s="181"/>
      <c r="H1005" s="183" t="str">
        <f t="shared" si="59"/>
        <v>FF</v>
      </c>
      <c r="I1005" s="112"/>
    </row>
    <row r="1006" spans="1:9">
      <c r="A1006" s="195">
        <f t="shared" si="62"/>
        <v>991</v>
      </c>
      <c r="B1006" s="116" t="str">
        <f t="shared" si="61"/>
        <v>3DF</v>
      </c>
      <c r="C1006" s="50"/>
      <c r="D1006" s="111"/>
      <c r="E1006" s="113"/>
      <c r="F1006" s="114"/>
      <c r="G1006" s="181"/>
      <c r="H1006" s="183" t="str">
        <f t="shared" si="59"/>
        <v>FF</v>
      </c>
      <c r="I1006" s="112"/>
    </row>
    <row r="1007" spans="1:9" ht="15" customHeight="1">
      <c r="A1007" s="195">
        <f t="shared" si="62"/>
        <v>992</v>
      </c>
      <c r="B1007" s="116" t="str">
        <f t="shared" si="61"/>
        <v>3E0</v>
      </c>
      <c r="C1007" s="50"/>
      <c r="D1007" s="111"/>
      <c r="E1007" s="113"/>
      <c r="F1007" s="114"/>
      <c r="G1007" s="181"/>
      <c r="H1007" s="183" t="str">
        <f t="shared" si="59"/>
        <v>FF</v>
      </c>
      <c r="I1007" s="112"/>
    </row>
    <row r="1008" spans="1:9" ht="15" customHeight="1">
      <c r="A1008" s="195">
        <f t="shared" si="62"/>
        <v>993</v>
      </c>
      <c r="B1008" s="116" t="str">
        <f t="shared" si="61"/>
        <v>3E1</v>
      </c>
      <c r="C1008" s="50"/>
      <c r="D1008" s="111"/>
      <c r="E1008" s="113"/>
      <c r="F1008" s="114"/>
      <c r="G1008" s="181"/>
      <c r="H1008" s="183" t="str">
        <f t="shared" si="59"/>
        <v>FF</v>
      </c>
      <c r="I1008" s="112"/>
    </row>
    <row r="1009" spans="1:9" ht="15" customHeight="1">
      <c r="A1009" s="195">
        <f t="shared" si="62"/>
        <v>994</v>
      </c>
      <c r="B1009" s="116" t="str">
        <f t="shared" si="61"/>
        <v>3E2</v>
      </c>
      <c r="C1009" s="50"/>
      <c r="D1009" s="111"/>
      <c r="E1009" s="113"/>
      <c r="F1009" s="114"/>
      <c r="G1009" s="181"/>
      <c r="H1009" s="183" t="str">
        <f t="shared" si="59"/>
        <v>FF</v>
      </c>
      <c r="I1009" s="112"/>
    </row>
    <row r="1010" spans="1:9" ht="15" customHeight="1">
      <c r="A1010" s="195">
        <f t="shared" si="62"/>
        <v>995</v>
      </c>
      <c r="B1010" s="116" t="str">
        <f t="shared" si="61"/>
        <v>3E3</v>
      </c>
      <c r="C1010" s="50"/>
      <c r="D1010" s="111"/>
      <c r="E1010" s="113"/>
      <c r="F1010" s="114"/>
      <c r="G1010" s="181"/>
      <c r="H1010" s="183" t="str">
        <f t="shared" si="59"/>
        <v>FF</v>
      </c>
      <c r="I1010" s="112"/>
    </row>
    <row r="1011" spans="1:9" ht="15" customHeight="1">
      <c r="A1011" s="195">
        <f t="shared" si="62"/>
        <v>996</v>
      </c>
      <c r="B1011" s="116" t="str">
        <f t="shared" si="61"/>
        <v>3E4</v>
      </c>
      <c r="C1011" s="50"/>
      <c r="D1011" s="111"/>
      <c r="E1011" s="113"/>
      <c r="F1011" s="114"/>
      <c r="G1011" s="181"/>
      <c r="H1011" s="183" t="str">
        <f t="shared" si="59"/>
        <v>FF</v>
      </c>
      <c r="I1011" s="112"/>
    </row>
    <row r="1012" spans="1:9" ht="15" customHeight="1">
      <c r="A1012" s="195">
        <f t="shared" si="62"/>
        <v>997</v>
      </c>
      <c r="B1012" s="116" t="str">
        <f t="shared" si="61"/>
        <v>3E5</v>
      </c>
      <c r="C1012" s="50"/>
      <c r="D1012" s="111"/>
      <c r="E1012" s="113"/>
      <c r="F1012" s="114"/>
      <c r="G1012" s="181"/>
      <c r="H1012" s="183" t="str">
        <f t="shared" si="59"/>
        <v>FF</v>
      </c>
      <c r="I1012" s="112"/>
    </row>
    <row r="1013" spans="1:9" ht="15" customHeight="1">
      <c r="A1013" s="195">
        <f t="shared" si="62"/>
        <v>998</v>
      </c>
      <c r="B1013" s="116" t="str">
        <f t="shared" si="61"/>
        <v>3E6</v>
      </c>
      <c r="C1013" s="50"/>
      <c r="D1013" s="111"/>
      <c r="E1013" s="113"/>
      <c r="F1013" s="114"/>
      <c r="G1013" s="181"/>
      <c r="H1013" s="183" t="str">
        <f t="shared" si="59"/>
        <v>FF</v>
      </c>
      <c r="I1013" s="112"/>
    </row>
    <row r="1014" spans="1:9" ht="15" customHeight="1">
      <c r="A1014" s="195">
        <f t="shared" si="62"/>
        <v>999</v>
      </c>
      <c r="B1014" s="116" t="str">
        <f t="shared" ref="B1014:B1038" si="63">DEC2HEX(A1014,3)</f>
        <v>3E7</v>
      </c>
      <c r="C1014" s="50"/>
      <c r="D1014" s="111"/>
      <c r="E1014" s="113"/>
      <c r="F1014" s="114"/>
      <c r="G1014" s="181"/>
      <c r="H1014" s="183" t="str">
        <f t="shared" si="59"/>
        <v>FF</v>
      </c>
      <c r="I1014" s="112"/>
    </row>
    <row r="1015" spans="1:9" ht="15" customHeight="1">
      <c r="A1015" s="195">
        <f t="shared" si="62"/>
        <v>1000</v>
      </c>
      <c r="B1015" s="116" t="str">
        <f t="shared" si="63"/>
        <v>3E8</v>
      </c>
      <c r="C1015" s="50"/>
      <c r="D1015" s="111"/>
      <c r="E1015" s="113"/>
      <c r="F1015" s="114"/>
      <c r="G1015" s="181"/>
      <c r="H1015" s="183" t="str">
        <f t="shared" si="59"/>
        <v>FF</v>
      </c>
      <c r="I1015" s="112"/>
    </row>
    <row r="1016" spans="1:9" ht="15" customHeight="1">
      <c r="A1016" s="195">
        <f t="shared" si="62"/>
        <v>1001</v>
      </c>
      <c r="B1016" s="116" t="str">
        <f t="shared" si="63"/>
        <v>3E9</v>
      </c>
      <c r="C1016" s="50"/>
      <c r="D1016" s="111"/>
      <c r="E1016" s="113"/>
      <c r="F1016" s="114"/>
      <c r="G1016" s="181"/>
      <c r="H1016" s="183" t="str">
        <f t="shared" si="59"/>
        <v>FF</v>
      </c>
      <c r="I1016" s="112"/>
    </row>
    <row r="1017" spans="1:9" ht="15" customHeight="1">
      <c r="A1017" s="195">
        <f t="shared" si="62"/>
        <v>1002</v>
      </c>
      <c r="B1017" s="116" t="str">
        <f t="shared" si="63"/>
        <v>3EA</v>
      </c>
      <c r="C1017" s="50"/>
      <c r="D1017" s="111"/>
      <c r="E1017" s="113"/>
      <c r="F1017" s="114"/>
      <c r="G1017" s="181"/>
      <c r="H1017" s="183" t="str">
        <f t="shared" si="59"/>
        <v>FF</v>
      </c>
      <c r="I1017" s="112"/>
    </row>
    <row r="1018" spans="1:9" ht="15" customHeight="1">
      <c r="A1018" s="195">
        <f t="shared" si="62"/>
        <v>1003</v>
      </c>
      <c r="B1018" s="116" t="str">
        <f t="shared" si="63"/>
        <v>3EB</v>
      </c>
      <c r="C1018" s="50"/>
      <c r="D1018" s="111"/>
      <c r="E1018" s="113"/>
      <c r="F1018" s="114"/>
      <c r="G1018" s="181"/>
      <c r="H1018" s="183" t="str">
        <f t="shared" si="59"/>
        <v>FF</v>
      </c>
      <c r="I1018" s="112"/>
    </row>
    <row r="1019" spans="1:9" ht="15" customHeight="1">
      <c r="A1019" s="195">
        <f t="shared" si="62"/>
        <v>1004</v>
      </c>
      <c r="B1019" s="116" t="str">
        <f t="shared" si="63"/>
        <v>3EC</v>
      </c>
      <c r="C1019" s="50"/>
      <c r="D1019" s="111"/>
      <c r="E1019" s="113"/>
      <c r="F1019" s="114"/>
      <c r="G1019" s="181"/>
      <c r="H1019" s="183" t="str">
        <f t="shared" si="59"/>
        <v>FF</v>
      </c>
      <c r="I1019" s="112"/>
    </row>
    <row r="1020" spans="1:9" ht="15" customHeight="1">
      <c r="A1020" s="195">
        <f t="shared" si="62"/>
        <v>1005</v>
      </c>
      <c r="B1020" s="116" t="str">
        <f t="shared" si="63"/>
        <v>3ED</v>
      </c>
      <c r="C1020" s="50"/>
      <c r="D1020" s="111"/>
      <c r="E1020" s="113"/>
      <c r="F1020" s="114"/>
      <c r="G1020" s="181"/>
      <c r="H1020" s="183" t="str">
        <f t="shared" si="59"/>
        <v>FF</v>
      </c>
      <c r="I1020" s="112"/>
    </row>
    <row r="1021" spans="1:9" ht="15" customHeight="1">
      <c r="A1021" s="195">
        <f t="shared" si="62"/>
        <v>1006</v>
      </c>
      <c r="B1021" s="116" t="str">
        <f t="shared" si="63"/>
        <v>3EE</v>
      </c>
      <c r="C1021" s="50"/>
      <c r="D1021" s="111"/>
      <c r="E1021" s="113"/>
      <c r="F1021" s="114"/>
      <c r="G1021" s="181"/>
      <c r="H1021" s="183" t="str">
        <f t="shared" si="59"/>
        <v>FF</v>
      </c>
      <c r="I1021" s="112"/>
    </row>
    <row r="1022" spans="1:9" ht="15" customHeight="1">
      <c r="A1022" s="195">
        <f t="shared" si="62"/>
        <v>1007</v>
      </c>
      <c r="B1022" s="116" t="str">
        <f t="shared" si="63"/>
        <v>3EF</v>
      </c>
      <c r="C1022" s="50"/>
      <c r="D1022" s="111"/>
      <c r="E1022" s="113"/>
      <c r="F1022" s="114"/>
      <c r="G1022" s="181"/>
      <c r="H1022" s="183" t="str">
        <f t="shared" si="59"/>
        <v>FF</v>
      </c>
      <c r="I1022" s="112"/>
    </row>
    <row r="1023" spans="1:9" ht="15" customHeight="1">
      <c r="A1023" s="195">
        <f t="shared" si="62"/>
        <v>1008</v>
      </c>
      <c r="B1023" s="116" t="str">
        <f t="shared" si="63"/>
        <v>3F0</v>
      </c>
      <c r="C1023" s="50"/>
      <c r="D1023" s="111"/>
      <c r="E1023" s="113"/>
      <c r="F1023" s="114"/>
      <c r="G1023" s="181"/>
      <c r="H1023" s="183" t="str">
        <f t="shared" si="59"/>
        <v>FF</v>
      </c>
      <c r="I1023" s="112"/>
    </row>
    <row r="1024" spans="1:9" ht="15" customHeight="1">
      <c r="A1024" s="195">
        <f t="shared" si="62"/>
        <v>1009</v>
      </c>
      <c r="B1024" s="116" t="str">
        <f t="shared" si="63"/>
        <v>3F1</v>
      </c>
      <c r="C1024" s="50"/>
      <c r="D1024" s="111"/>
      <c r="E1024" s="113"/>
      <c r="F1024" s="114"/>
      <c r="G1024" s="181"/>
      <c r="H1024" s="183" t="str">
        <f t="shared" si="59"/>
        <v>FF</v>
      </c>
      <c r="I1024" s="112"/>
    </row>
    <row r="1025" spans="1:9" ht="15" customHeight="1">
      <c r="A1025" s="195">
        <f t="shared" si="62"/>
        <v>1010</v>
      </c>
      <c r="B1025" s="116" t="str">
        <f t="shared" si="63"/>
        <v>3F2</v>
      </c>
      <c r="C1025" s="50"/>
      <c r="D1025" s="111"/>
      <c r="E1025" s="113"/>
      <c r="F1025" s="114"/>
      <c r="G1025" s="181"/>
      <c r="H1025" s="183" t="str">
        <f t="shared" si="59"/>
        <v>FF</v>
      </c>
      <c r="I1025" s="112"/>
    </row>
    <row r="1026" spans="1:9" ht="15" customHeight="1">
      <c r="A1026" s="195">
        <f t="shared" si="62"/>
        <v>1011</v>
      </c>
      <c r="B1026" s="116" t="str">
        <f t="shared" si="63"/>
        <v>3F3</v>
      </c>
      <c r="C1026" s="50"/>
      <c r="D1026" s="111"/>
      <c r="E1026" s="113"/>
      <c r="F1026" s="114"/>
      <c r="G1026" s="181"/>
      <c r="H1026" s="183" t="str">
        <f t="shared" si="59"/>
        <v>FF</v>
      </c>
      <c r="I1026" s="112"/>
    </row>
    <row r="1027" spans="1:9" ht="15" customHeight="1">
      <c r="A1027" s="195">
        <f t="shared" si="62"/>
        <v>1012</v>
      </c>
      <c r="B1027" s="116" t="str">
        <f t="shared" si="63"/>
        <v>3F4</v>
      </c>
      <c r="C1027" s="50"/>
      <c r="D1027" s="111"/>
      <c r="E1027" s="113"/>
      <c r="F1027" s="114"/>
      <c r="G1027" s="181"/>
      <c r="H1027" s="183" t="str">
        <f t="shared" si="59"/>
        <v>FF</v>
      </c>
      <c r="I1027" s="112"/>
    </row>
    <row r="1028" spans="1:9" ht="15" customHeight="1">
      <c r="A1028" s="195">
        <f t="shared" si="62"/>
        <v>1013</v>
      </c>
      <c r="B1028" s="116" t="str">
        <f t="shared" si="63"/>
        <v>3F5</v>
      </c>
      <c r="C1028" s="50"/>
      <c r="D1028" s="111"/>
      <c r="E1028" s="113"/>
      <c r="F1028" s="114"/>
      <c r="G1028" s="181"/>
      <c r="H1028" s="183" t="str">
        <f t="shared" si="59"/>
        <v>FF</v>
      </c>
      <c r="I1028" s="112"/>
    </row>
    <row r="1029" spans="1:9" ht="15" customHeight="1">
      <c r="A1029" s="195">
        <f t="shared" si="62"/>
        <v>1014</v>
      </c>
      <c r="B1029" s="116" t="str">
        <f t="shared" si="63"/>
        <v>3F6</v>
      </c>
      <c r="C1029" s="50"/>
      <c r="D1029" s="111"/>
      <c r="E1029" s="113"/>
      <c r="F1029" s="114"/>
      <c r="G1029" s="181"/>
      <c r="H1029" s="183" t="str">
        <f t="shared" si="59"/>
        <v>FF</v>
      </c>
      <c r="I1029" s="112"/>
    </row>
    <row r="1030" spans="1:9" ht="15" customHeight="1">
      <c r="A1030" s="195">
        <f t="shared" si="62"/>
        <v>1015</v>
      </c>
      <c r="B1030" s="116" t="str">
        <f t="shared" si="63"/>
        <v>3F7</v>
      </c>
      <c r="C1030" s="50"/>
      <c r="D1030" s="111"/>
      <c r="E1030" s="113"/>
      <c r="F1030" s="114"/>
      <c r="G1030" s="181"/>
      <c r="H1030" s="183" t="str">
        <f t="shared" si="59"/>
        <v>FF</v>
      </c>
      <c r="I1030" s="112"/>
    </row>
    <row r="1031" spans="1:9" ht="15" customHeight="1">
      <c r="A1031" s="195">
        <f t="shared" si="62"/>
        <v>1016</v>
      </c>
      <c r="B1031" s="116" t="str">
        <f t="shared" si="63"/>
        <v>3F8</v>
      </c>
      <c r="C1031" s="50"/>
      <c r="D1031" s="111"/>
      <c r="E1031" s="113"/>
      <c r="F1031" s="114"/>
      <c r="G1031" s="181"/>
      <c r="H1031" s="183" t="str">
        <f t="shared" si="59"/>
        <v>FF</v>
      </c>
      <c r="I1031" s="112"/>
    </row>
    <row r="1032" spans="1:9" ht="15" customHeight="1">
      <c r="A1032" s="195">
        <f t="shared" si="62"/>
        <v>1017</v>
      </c>
      <c r="B1032" s="116" t="str">
        <f t="shared" si="63"/>
        <v>3F9</v>
      </c>
      <c r="C1032" s="50"/>
      <c r="D1032" s="111"/>
      <c r="E1032" s="113"/>
      <c r="F1032" s="114"/>
      <c r="G1032" s="181"/>
      <c r="H1032" s="183" t="str">
        <f t="shared" si="59"/>
        <v>FF</v>
      </c>
      <c r="I1032" s="112"/>
    </row>
    <row r="1033" spans="1:9" ht="15" customHeight="1">
      <c r="A1033" s="195">
        <f t="shared" si="62"/>
        <v>1018</v>
      </c>
      <c r="B1033" s="116" t="str">
        <f t="shared" si="63"/>
        <v>3FA</v>
      </c>
      <c r="C1033" s="50"/>
      <c r="D1033" s="111"/>
      <c r="E1033" s="113"/>
      <c r="F1033" s="114"/>
      <c r="G1033" s="181"/>
      <c r="H1033" s="183" t="str">
        <f t="shared" si="59"/>
        <v>FF</v>
      </c>
      <c r="I1033" s="112"/>
    </row>
    <row r="1034" spans="1:9" ht="15" customHeight="1">
      <c r="A1034" s="195">
        <f t="shared" si="62"/>
        <v>1019</v>
      </c>
      <c r="B1034" s="116" t="str">
        <f t="shared" si="63"/>
        <v>3FB</v>
      </c>
      <c r="C1034" s="50"/>
      <c r="D1034" s="111"/>
      <c r="E1034" s="113"/>
      <c r="F1034" s="114"/>
      <c r="G1034" s="181"/>
      <c r="H1034" s="183" t="str">
        <f t="shared" si="59"/>
        <v>FF</v>
      </c>
      <c r="I1034" s="112"/>
    </row>
    <row r="1035" spans="1:9" ht="15" customHeight="1">
      <c r="A1035" s="195">
        <f t="shared" si="62"/>
        <v>1020</v>
      </c>
      <c r="B1035" s="116" t="str">
        <f t="shared" si="63"/>
        <v>3FC</v>
      </c>
      <c r="C1035" s="50"/>
      <c r="D1035" s="111"/>
      <c r="E1035" s="113"/>
      <c r="F1035" s="114"/>
      <c r="G1035" s="181"/>
      <c r="H1035" s="183" t="str">
        <f t="shared" si="59"/>
        <v>FF</v>
      </c>
      <c r="I1035" s="112"/>
    </row>
    <row r="1036" spans="1:9" ht="15" customHeight="1">
      <c r="A1036" s="195">
        <f t="shared" si="62"/>
        <v>1021</v>
      </c>
      <c r="B1036" s="116" t="str">
        <f t="shared" si="63"/>
        <v>3FD</v>
      </c>
      <c r="C1036" s="50"/>
      <c r="D1036" s="111"/>
      <c r="E1036" s="113"/>
      <c r="F1036" s="114"/>
      <c r="G1036" s="181"/>
      <c r="H1036" s="183" t="str">
        <f t="shared" si="59"/>
        <v>FF</v>
      </c>
      <c r="I1036" s="112"/>
    </row>
    <row r="1037" spans="1:9" ht="15" customHeight="1">
      <c r="A1037" s="195">
        <f t="shared" si="62"/>
        <v>1022</v>
      </c>
      <c r="B1037" s="116" t="str">
        <f t="shared" si="63"/>
        <v>3FE</v>
      </c>
      <c r="C1037" s="50"/>
      <c r="D1037" s="111"/>
      <c r="E1037" s="113"/>
      <c r="F1037" s="114"/>
      <c r="G1037" s="181"/>
      <c r="H1037" s="183" t="str">
        <f t="shared" si="59"/>
        <v>FF</v>
      </c>
      <c r="I1037" s="112"/>
    </row>
    <row r="1038" spans="1:9" ht="15" customHeight="1">
      <c r="A1038" s="195">
        <f t="shared" si="62"/>
        <v>1023</v>
      </c>
      <c r="B1038" s="116" t="str">
        <f t="shared" si="63"/>
        <v>3FF</v>
      </c>
      <c r="C1038" s="50"/>
      <c r="D1038" s="111"/>
      <c r="E1038" s="113"/>
      <c r="F1038" s="114"/>
      <c r="G1038" s="181"/>
      <c r="H1038" s="183" t="str">
        <f t="shared" si="59"/>
        <v>FF</v>
      </c>
      <c r="I1038" s="112"/>
    </row>
  </sheetData>
  <mergeCells count="8">
    <mergeCell ref="D9:F9"/>
    <mergeCell ref="D7:F7"/>
    <mergeCell ref="A1:I1"/>
    <mergeCell ref="D3:F3"/>
    <mergeCell ref="D4:F4"/>
    <mergeCell ref="D5:F5"/>
    <mergeCell ref="D6:F6"/>
    <mergeCell ref="D8:F8"/>
  </mergeCells>
  <phoneticPr fontId="0" type="noConversion"/>
  <printOptions horizontalCentered="1"/>
  <pageMargins left="0.28000000000000003" right="0.24" top="0.41" bottom="0.31" header="0.22" footer="0.35"/>
  <pageSetup paperSize="9" scale="5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hisWorkbook.Main">
                <anchor moveWithCells="1" sizeWithCells="1">
                  <from>
                    <xdr:col>6</xdr:col>
                    <xdr:colOff>133350</xdr:colOff>
                    <xdr:row>2</xdr:row>
                    <xdr:rowOff>9525</xdr:rowOff>
                  </from>
                  <to>
                    <xdr:col>8</xdr:col>
                    <xdr:colOff>923925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5" name="Button 13">
              <controlPr defaultSize="0" print="0" autoFill="0" autoPict="0" macro="[0]!ThisWorkbook.JustHex">
                <anchor moveWithCells="1" sizeWithCells="1">
                  <from>
                    <xdr:col>8</xdr:col>
                    <xdr:colOff>1076325</xdr:colOff>
                    <xdr:row>2</xdr:row>
                    <xdr:rowOff>9525</xdr:rowOff>
                  </from>
                  <to>
                    <xdr:col>8</xdr:col>
                    <xdr:colOff>3200400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/>
    <pageSetUpPr fitToPage="1"/>
  </sheetPr>
  <dimension ref="A1:AC1359"/>
  <sheetViews>
    <sheetView tabSelected="1" zoomScale="85" zoomScaleNormal="85" workbookViewId="0">
      <pane xSplit="15285" topLeftCell="R1"/>
      <selection activeCell="H63" sqref="H63"/>
      <selection pane="topRight" activeCell="S44" sqref="S44"/>
    </sheetView>
  </sheetViews>
  <sheetFormatPr defaultRowHeight="12.75" outlineLevelRow="1"/>
  <cols>
    <col min="1" max="1" width="5.7109375" customWidth="1"/>
    <col min="2" max="2" width="24.42578125" customWidth="1"/>
    <col min="3" max="3" width="21.140625" customWidth="1"/>
    <col min="4" max="4" width="12.7109375" style="1" customWidth="1"/>
    <col min="5" max="5" width="16.5703125" customWidth="1"/>
    <col min="6" max="6" width="21.42578125" customWidth="1"/>
    <col min="7" max="7" width="18.5703125" customWidth="1"/>
    <col min="8" max="8" width="25.42578125" customWidth="1"/>
    <col min="9" max="9" width="16" bestFit="1" customWidth="1"/>
    <col min="10" max="10" width="12.85546875" bestFit="1" customWidth="1"/>
    <col min="11" max="16" width="15.7109375" customWidth="1"/>
    <col min="17" max="17" width="9.5703125" customWidth="1"/>
    <col min="18" max="19" width="10.7109375" customWidth="1"/>
    <col min="20" max="20" width="18.5703125" customWidth="1"/>
    <col min="21" max="22" width="10.7109375" customWidth="1"/>
    <col min="26" max="26" width="9.28515625" bestFit="1" customWidth="1"/>
  </cols>
  <sheetData>
    <row r="1" spans="1:24" ht="45" customHeight="1" thickBot="1">
      <c r="A1" s="16"/>
      <c r="B1" s="176"/>
      <c r="C1" s="368" t="s">
        <v>69</v>
      </c>
      <c r="D1" s="369"/>
      <c r="E1" s="369"/>
      <c r="F1" s="369"/>
      <c r="G1" s="369"/>
      <c r="H1" s="369"/>
      <c r="I1" s="369"/>
      <c r="J1" s="369"/>
      <c r="K1" s="369"/>
      <c r="L1" s="369"/>
      <c r="M1" s="369"/>
      <c r="N1" s="369"/>
      <c r="O1" s="369"/>
      <c r="P1" s="369"/>
      <c r="Q1" s="369"/>
      <c r="R1" s="369"/>
      <c r="S1" s="369"/>
      <c r="T1" s="369"/>
      <c r="U1" s="369"/>
      <c r="V1" s="370"/>
    </row>
    <row r="2" spans="1:24" s="90" customFormat="1" ht="16.5" customHeight="1" thickBot="1">
      <c r="A2" s="179"/>
      <c r="B2" s="143" t="s">
        <v>42</v>
      </c>
      <c r="C2" s="8"/>
      <c r="D2" s="137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9"/>
    </row>
    <row r="3" spans="1:24" ht="12.75" customHeight="1" outlineLevel="1" thickBot="1">
      <c r="U3" s="16"/>
      <c r="V3" s="16"/>
    </row>
    <row r="4" spans="1:24" ht="12.75" customHeight="1" outlineLevel="1" thickBot="1">
      <c r="B4" s="223" t="s">
        <v>46</v>
      </c>
      <c r="C4" s="224"/>
      <c r="D4" s="197"/>
      <c r="E4" s="198"/>
      <c r="F4" s="225"/>
      <c r="G4" s="226"/>
      <c r="U4" s="16"/>
      <c r="V4" s="16"/>
    </row>
    <row r="5" spans="1:24" ht="12.75" customHeight="1" outlineLevel="1" thickBot="1">
      <c r="B5" s="108"/>
      <c r="C5" s="190"/>
      <c r="D5" s="76"/>
      <c r="E5" s="74"/>
      <c r="F5" s="172"/>
      <c r="G5" s="199"/>
      <c r="Q5" s="16"/>
      <c r="U5" s="90"/>
      <c r="V5" s="16"/>
    </row>
    <row r="6" spans="1:24" ht="12.75" customHeight="1" outlineLevel="1" thickBot="1">
      <c r="B6" s="109"/>
      <c r="C6" s="196"/>
      <c r="D6" s="3"/>
      <c r="E6" s="3"/>
      <c r="F6" s="115"/>
      <c r="G6" s="200"/>
      <c r="L6" s="173">
        <v>2</v>
      </c>
      <c r="M6" s="214" t="s">
        <v>44</v>
      </c>
      <c r="N6" s="214">
        <v>0</v>
      </c>
      <c r="O6" s="214">
        <f>INDEX(N6:N7,L6)</f>
        <v>255</v>
      </c>
      <c r="P6" s="213"/>
      <c r="Q6" s="204"/>
      <c r="R6" s="155">
        <f>O6</f>
        <v>255</v>
      </c>
      <c r="U6" s="71" t="str">
        <f>DEC2HEX(R6,2)</f>
        <v>FF</v>
      </c>
      <c r="V6" s="16"/>
    </row>
    <row r="7" spans="1:24" ht="12.75" customHeight="1" outlineLevel="1" thickBot="1">
      <c r="B7" s="108"/>
      <c r="C7" s="205"/>
      <c r="D7" s="76"/>
      <c r="E7" s="74"/>
      <c r="F7" s="115"/>
      <c r="G7" s="200"/>
      <c r="L7" s="218"/>
      <c r="M7" s="219" t="s">
        <v>45</v>
      </c>
      <c r="N7" s="219">
        <v>255</v>
      </c>
      <c r="O7" s="219"/>
      <c r="P7" s="221"/>
      <c r="Q7" s="204"/>
      <c r="T7" s="16"/>
      <c r="U7" s="16"/>
      <c r="V7" s="16"/>
    </row>
    <row r="8" spans="1:24" ht="12.75" customHeight="1" outlineLevel="1" thickBot="1">
      <c r="B8" s="145"/>
      <c r="C8" s="145"/>
      <c r="D8" s="76"/>
      <c r="E8" s="74"/>
      <c r="F8" s="153"/>
      <c r="G8" s="153"/>
      <c r="H8" s="90"/>
      <c r="I8" s="90"/>
      <c r="J8" s="90"/>
      <c r="K8" s="51"/>
      <c r="L8" s="174"/>
      <c r="M8" s="215"/>
      <c r="N8" s="215"/>
      <c r="O8" s="215"/>
      <c r="P8" s="216"/>
      <c r="Q8" s="16"/>
      <c r="T8" s="16"/>
      <c r="U8" s="16"/>
      <c r="V8" s="16"/>
    </row>
    <row r="9" spans="1:24" ht="13.5" outlineLevel="1" thickBot="1">
      <c r="A9" s="175"/>
      <c r="B9" s="222"/>
      <c r="C9" s="196" t="s">
        <v>43</v>
      </c>
      <c r="D9" s="3"/>
      <c r="E9" s="3"/>
      <c r="F9" s="172"/>
      <c r="G9" s="199"/>
      <c r="H9" s="90"/>
      <c r="I9" s="204"/>
      <c r="J9" s="90"/>
      <c r="K9" s="90"/>
      <c r="L9" s="174">
        <v>12</v>
      </c>
      <c r="M9" s="215" t="s">
        <v>47</v>
      </c>
      <c r="N9" s="215">
        <v>0</v>
      </c>
      <c r="O9" s="215">
        <f>INDEX(N9:N36,L9)</f>
        <v>11</v>
      </c>
      <c r="P9" s="217"/>
      <c r="Q9" s="212"/>
      <c r="R9" s="152">
        <f>O9</f>
        <v>11</v>
      </c>
      <c r="S9" s="104"/>
      <c r="T9" s="151"/>
      <c r="U9" s="71" t="str">
        <f>DEC2HEX(R9,2)</f>
        <v>0B</v>
      </c>
      <c r="V9" s="17"/>
    </row>
    <row r="10" spans="1:24" ht="13.5" outlineLevel="1" thickBot="1">
      <c r="B10" s="108"/>
      <c r="C10" s="205"/>
      <c r="D10" s="76"/>
      <c r="E10" s="74"/>
      <c r="F10" s="172"/>
      <c r="G10" s="201"/>
      <c r="H10" s="90"/>
      <c r="I10" s="90"/>
      <c r="J10" s="90"/>
      <c r="K10" s="90"/>
      <c r="L10" s="174"/>
      <c r="M10" s="215" t="s">
        <v>48</v>
      </c>
      <c r="N10" s="215">
        <v>1</v>
      </c>
      <c r="O10" s="215"/>
      <c r="P10" s="216"/>
      <c r="Q10" s="51"/>
      <c r="R10" s="51"/>
      <c r="S10" s="51"/>
      <c r="T10" s="51"/>
      <c r="U10" s="51"/>
      <c r="V10" s="51"/>
      <c r="X10" s="98"/>
    </row>
    <row r="11" spans="1:24" outlineLevel="1">
      <c r="B11" s="206"/>
      <c r="C11" s="207"/>
      <c r="D11" s="208"/>
      <c r="E11" s="208"/>
      <c r="F11" s="209"/>
      <c r="G11" s="208"/>
      <c r="H11" s="90"/>
      <c r="I11" s="204"/>
      <c r="J11" s="90"/>
      <c r="K11" s="90"/>
      <c r="L11" s="174"/>
      <c r="M11" s="215" t="s">
        <v>49</v>
      </c>
      <c r="N11" s="215">
        <v>2</v>
      </c>
      <c r="O11" s="215"/>
      <c r="P11" s="217"/>
      <c r="Q11" s="149"/>
      <c r="R11" s="51"/>
      <c r="S11" s="150"/>
      <c r="T11" s="150"/>
      <c r="U11" s="51"/>
      <c r="V11" s="150"/>
    </row>
    <row r="12" spans="1:24" ht="12.75" customHeight="1" outlineLevel="1">
      <c r="D12"/>
      <c r="J12" s="51"/>
      <c r="K12" s="51"/>
      <c r="L12" s="174"/>
      <c r="M12" s="215" t="s">
        <v>98</v>
      </c>
      <c r="N12" s="215">
        <v>3</v>
      </c>
      <c r="O12" s="215"/>
      <c r="P12" s="216"/>
    </row>
    <row r="13" spans="1:24" ht="12.75" customHeight="1" outlineLevel="1">
      <c r="F13" s="91" t="s">
        <v>29</v>
      </c>
      <c r="G13" s="88">
        <v>5</v>
      </c>
      <c r="H13" s="92" t="s">
        <v>34</v>
      </c>
      <c r="L13" s="174"/>
      <c r="M13" s="215" t="s">
        <v>99</v>
      </c>
      <c r="N13" s="215">
        <v>4</v>
      </c>
      <c r="O13" s="215"/>
      <c r="P13" s="216"/>
    </row>
    <row r="14" spans="1:24" ht="12.75" customHeight="1" outlineLevel="1">
      <c r="F14" s="72" t="s">
        <v>33</v>
      </c>
      <c r="G14" s="89">
        <v>100</v>
      </c>
      <c r="H14" s="73" t="s">
        <v>32</v>
      </c>
      <c r="L14" s="174"/>
      <c r="M14" s="215" t="s">
        <v>50</v>
      </c>
      <c r="N14" s="215">
        <v>5</v>
      </c>
      <c r="O14" s="215"/>
      <c r="P14" s="216"/>
    </row>
    <row r="15" spans="1:24" ht="12.75" customHeight="1" outlineLevel="1">
      <c r="F15" s="91" t="s">
        <v>35</v>
      </c>
      <c r="G15" s="93">
        <f>G14/10</f>
        <v>10</v>
      </c>
      <c r="H15" s="92" t="s">
        <v>32</v>
      </c>
      <c r="L15" s="174"/>
      <c r="M15" s="215" t="s">
        <v>51</v>
      </c>
      <c r="N15" s="215">
        <v>6</v>
      </c>
      <c r="O15" s="215"/>
      <c r="P15" s="216"/>
    </row>
    <row r="16" spans="1:24" ht="12.75" customHeight="1" outlineLevel="1">
      <c r="L16" s="174"/>
      <c r="M16" s="215" t="s">
        <v>52</v>
      </c>
      <c r="N16" s="215">
        <v>7</v>
      </c>
      <c r="O16" s="215"/>
      <c r="P16" s="216"/>
    </row>
    <row r="17" spans="1:24" ht="12.75" customHeight="1" outlineLevel="1">
      <c r="L17" s="174"/>
      <c r="M17" s="215" t="s">
        <v>53</v>
      </c>
      <c r="N17" s="215">
        <v>8</v>
      </c>
      <c r="O17" s="215"/>
      <c r="P17" s="216"/>
    </row>
    <row r="18" spans="1:24" ht="12.75" customHeight="1" outlineLevel="1">
      <c r="L18" s="174"/>
      <c r="M18" s="215" t="s">
        <v>54</v>
      </c>
      <c r="N18" s="215">
        <v>9</v>
      </c>
      <c r="O18" s="215"/>
      <c r="P18" s="216"/>
    </row>
    <row r="19" spans="1:24" ht="16.5" customHeight="1">
      <c r="A19" s="244"/>
      <c r="B19" s="244"/>
      <c r="C19" s="244"/>
      <c r="D19" s="245"/>
      <c r="E19" s="244"/>
      <c r="F19" s="244"/>
      <c r="G19" s="244"/>
      <c r="H19" s="244"/>
      <c r="I19" s="90"/>
      <c r="J19" s="90"/>
      <c r="K19" s="90"/>
      <c r="L19" s="174"/>
      <c r="M19" s="215" t="s">
        <v>55</v>
      </c>
      <c r="N19" s="215">
        <v>10</v>
      </c>
      <c r="O19" s="215"/>
      <c r="P19" s="216"/>
      <c r="Q19" s="90"/>
      <c r="R19" s="90"/>
      <c r="S19" s="90"/>
      <c r="T19" s="90"/>
      <c r="U19" s="90"/>
      <c r="V19" s="90"/>
    </row>
    <row r="20" spans="1:24" ht="12.75" customHeight="1" outlineLevel="1">
      <c r="D20"/>
      <c r="L20" s="174"/>
      <c r="M20" s="215" t="s">
        <v>38</v>
      </c>
      <c r="N20" s="215">
        <v>11</v>
      </c>
      <c r="O20" s="215"/>
      <c r="P20" s="216"/>
    </row>
    <row r="21" spans="1:24" ht="12.75" customHeight="1" outlineLevel="1">
      <c r="A21" s="210"/>
      <c r="B21" s="210"/>
      <c r="C21" s="18"/>
      <c r="D21" s="17"/>
      <c r="E21" s="90"/>
      <c r="F21" s="17"/>
      <c r="G21" s="142"/>
      <c r="H21" s="186"/>
      <c r="L21" s="174"/>
      <c r="M21" s="215" t="s">
        <v>56</v>
      </c>
      <c r="N21" s="215">
        <v>12</v>
      </c>
      <c r="O21" s="215"/>
      <c r="P21" s="216"/>
      <c r="Q21" s="90"/>
      <c r="R21" s="17"/>
      <c r="S21" s="17"/>
      <c r="T21" s="17"/>
      <c r="U21" s="17"/>
      <c r="V21" s="17"/>
      <c r="X21" s="55"/>
    </row>
    <row r="22" spans="1:24" ht="12.75" customHeight="1" outlineLevel="1">
      <c r="A22" s="90"/>
      <c r="B22" s="90"/>
      <c r="C22" s="94"/>
      <c r="D22" s="238"/>
      <c r="E22" s="94"/>
      <c r="F22" s="90"/>
      <c r="G22" s="239"/>
      <c r="H22" s="16"/>
      <c r="L22" s="174"/>
      <c r="M22" s="215" t="s">
        <v>57</v>
      </c>
      <c r="N22" s="215">
        <v>13</v>
      </c>
      <c r="O22" s="215"/>
      <c r="P22" s="216"/>
      <c r="Q22" s="90"/>
      <c r="R22" s="94"/>
      <c r="S22" s="94"/>
      <c r="T22" s="90"/>
      <c r="U22" s="94"/>
      <c r="V22" s="94"/>
      <c r="X22" s="55"/>
    </row>
    <row r="23" spans="1:24" ht="12.75" customHeight="1" outlineLevel="1">
      <c r="A23" s="94"/>
      <c r="B23" s="94"/>
      <c r="C23" s="94"/>
      <c r="D23" s="238"/>
      <c r="E23" s="94"/>
      <c r="F23" s="90"/>
      <c r="G23" s="239"/>
      <c r="H23" s="16"/>
      <c r="L23" s="174"/>
      <c r="M23" s="215" t="s">
        <v>58</v>
      </c>
      <c r="N23" s="215">
        <v>14</v>
      </c>
      <c r="O23" s="215"/>
      <c r="P23" s="216"/>
      <c r="Q23" s="90"/>
      <c r="R23" s="94"/>
      <c r="S23" s="94"/>
      <c r="T23" s="90"/>
      <c r="U23" s="94"/>
      <c r="V23" s="94"/>
      <c r="X23" s="55"/>
    </row>
    <row r="24" spans="1:24" ht="12.75" customHeight="1" outlineLevel="1">
      <c r="A24" s="240"/>
      <c r="B24" s="240"/>
      <c r="C24" s="94"/>
      <c r="D24" s="238"/>
      <c r="E24" s="94"/>
      <c r="F24" s="90"/>
      <c r="G24" s="239"/>
      <c r="H24" s="16"/>
      <c r="L24" s="174"/>
      <c r="M24" s="215" t="s">
        <v>59</v>
      </c>
      <c r="N24" s="215">
        <v>15</v>
      </c>
      <c r="O24" s="215"/>
      <c r="P24" s="216"/>
      <c r="Q24" s="90"/>
      <c r="R24" s="94"/>
      <c r="S24" s="94"/>
      <c r="T24" s="90"/>
      <c r="U24" s="94"/>
      <c r="V24" s="94"/>
      <c r="X24" s="55"/>
    </row>
    <row r="25" spans="1:24" ht="12.75" customHeight="1" outlineLevel="1">
      <c r="A25" s="90"/>
      <c r="B25" s="90"/>
      <c r="C25" s="94"/>
      <c r="D25" s="238"/>
      <c r="E25" s="94"/>
      <c r="F25" s="90"/>
      <c r="G25" s="239"/>
      <c r="H25" s="16"/>
      <c r="L25" s="174"/>
      <c r="M25" s="215" t="s">
        <v>60</v>
      </c>
      <c r="N25" s="215">
        <v>16</v>
      </c>
      <c r="O25" s="215"/>
      <c r="P25" s="216"/>
      <c r="Q25" s="90"/>
      <c r="R25" s="94"/>
      <c r="S25" s="94"/>
      <c r="T25" s="90"/>
      <c r="U25" s="94"/>
      <c r="V25" s="94"/>
      <c r="X25" s="55"/>
    </row>
    <row r="26" spans="1:24" ht="12.75" customHeight="1" outlineLevel="1">
      <c r="A26" s="90"/>
      <c r="B26" s="90"/>
      <c r="C26" s="94"/>
      <c r="D26" s="238"/>
      <c r="E26" s="94"/>
      <c r="F26" s="90"/>
      <c r="G26" s="239"/>
      <c r="H26" s="16"/>
      <c r="L26" s="174"/>
      <c r="M26" s="215" t="s">
        <v>41</v>
      </c>
      <c r="N26" s="215">
        <v>17</v>
      </c>
      <c r="O26" s="215"/>
      <c r="P26" s="216"/>
      <c r="Q26" s="90"/>
      <c r="R26" s="94"/>
      <c r="S26" s="94"/>
      <c r="T26" s="90"/>
      <c r="U26" s="94"/>
      <c r="V26" s="94"/>
      <c r="X26" s="55"/>
    </row>
    <row r="27" spans="1:24" ht="12.75" customHeight="1" outlineLevel="1">
      <c r="A27" s="90"/>
      <c r="B27" s="90"/>
      <c r="C27" s="94"/>
      <c r="D27" s="238"/>
      <c r="E27" s="94"/>
      <c r="F27" s="90"/>
      <c r="G27" s="239"/>
      <c r="H27" s="16"/>
      <c r="L27" s="174"/>
      <c r="M27" s="215" t="s">
        <v>37</v>
      </c>
      <c r="N27" s="215">
        <v>18</v>
      </c>
      <c r="O27" s="215"/>
      <c r="P27" s="216"/>
      <c r="Q27" s="90"/>
      <c r="R27" s="94"/>
      <c r="S27" s="94"/>
      <c r="T27" s="90"/>
      <c r="U27" s="94"/>
      <c r="V27" s="94"/>
      <c r="X27" s="55"/>
    </row>
    <row r="28" spans="1:24" ht="12.75" customHeight="1" outlineLevel="1">
      <c r="A28" s="90"/>
      <c r="B28" s="90"/>
      <c r="C28" s="94"/>
      <c r="D28" s="238"/>
      <c r="E28" s="94"/>
      <c r="F28" s="90"/>
      <c r="G28" s="239"/>
      <c r="H28" s="16"/>
      <c r="L28" s="174"/>
      <c r="M28" s="215" t="s">
        <v>61</v>
      </c>
      <c r="N28" s="215">
        <v>19</v>
      </c>
      <c r="O28" s="215"/>
      <c r="P28" s="216"/>
      <c r="Q28" s="90"/>
      <c r="R28" s="94"/>
      <c r="S28" s="94"/>
      <c r="T28" s="90"/>
      <c r="U28" s="94"/>
      <c r="V28" s="94"/>
      <c r="X28" s="55"/>
    </row>
    <row r="29" spans="1:24" ht="12.75" customHeight="1" outlineLevel="1">
      <c r="A29" s="90"/>
      <c r="B29" s="90"/>
      <c r="C29" s="94"/>
      <c r="D29" s="238"/>
      <c r="E29" s="94"/>
      <c r="F29" s="90"/>
      <c r="G29" s="239"/>
      <c r="H29" s="16"/>
      <c r="L29" s="174"/>
      <c r="M29" s="215" t="s">
        <v>62</v>
      </c>
      <c r="N29" s="215">
        <v>20</v>
      </c>
      <c r="O29" s="215"/>
      <c r="P29" s="216"/>
      <c r="Q29" s="90"/>
      <c r="R29" s="94"/>
      <c r="S29" s="94"/>
      <c r="T29" s="90"/>
      <c r="U29" s="94"/>
      <c r="V29" s="94"/>
    </row>
    <row r="30" spans="1:24" ht="12.75" customHeight="1" outlineLevel="1">
      <c r="A30" s="90"/>
      <c r="B30" s="90"/>
      <c r="C30" s="94"/>
      <c r="D30" s="238"/>
      <c r="E30" s="94"/>
      <c r="F30" s="90"/>
      <c r="G30" s="239"/>
      <c r="H30" s="16"/>
      <c r="L30" s="174"/>
      <c r="M30" s="215" t="s">
        <v>36</v>
      </c>
      <c r="N30" s="215">
        <v>21</v>
      </c>
      <c r="O30" s="215"/>
      <c r="P30" s="216"/>
      <c r="Q30" s="90"/>
      <c r="R30" s="94"/>
      <c r="S30" s="94"/>
      <c r="T30" s="90"/>
      <c r="U30" s="94"/>
      <c r="V30" s="94"/>
    </row>
    <row r="31" spans="1:24" ht="12.75" customHeight="1" outlineLevel="1">
      <c r="A31" s="90"/>
      <c r="B31" s="90"/>
      <c r="C31" s="94"/>
      <c r="D31" s="238"/>
      <c r="E31" s="94"/>
      <c r="F31" s="90"/>
      <c r="G31" s="239"/>
      <c r="H31" s="16"/>
      <c r="L31" s="174"/>
      <c r="M31" s="215" t="s">
        <v>63</v>
      </c>
      <c r="N31" s="215">
        <v>22</v>
      </c>
      <c r="O31" s="215"/>
      <c r="P31" s="216"/>
      <c r="Q31" s="90"/>
      <c r="R31" s="94"/>
      <c r="S31" s="94"/>
      <c r="T31" s="90"/>
      <c r="U31" s="94"/>
      <c r="V31" s="94"/>
      <c r="X31" s="55"/>
    </row>
    <row r="32" spans="1:24" ht="12.75" customHeight="1" outlineLevel="1">
      <c r="A32" s="90"/>
      <c r="B32" s="90"/>
      <c r="C32" s="94"/>
      <c r="D32" s="238"/>
      <c r="E32" s="94"/>
      <c r="F32" s="90"/>
      <c r="G32" s="239"/>
      <c r="H32" s="16"/>
      <c r="L32" s="174"/>
      <c r="M32" s="215" t="s">
        <v>64</v>
      </c>
      <c r="N32" s="215">
        <v>23</v>
      </c>
      <c r="O32" s="215"/>
      <c r="P32" s="216"/>
      <c r="Q32" s="90"/>
      <c r="R32" s="94"/>
      <c r="S32" s="94"/>
      <c r="T32" s="90"/>
      <c r="U32" s="94"/>
      <c r="V32" s="94"/>
      <c r="X32" s="55"/>
    </row>
    <row r="33" spans="1:27" ht="12.75" customHeight="1" outlineLevel="1">
      <c r="A33" s="90"/>
      <c r="B33" s="90"/>
      <c r="C33" s="90"/>
      <c r="D33" s="94"/>
      <c r="E33" s="90"/>
      <c r="F33" s="90"/>
      <c r="G33" s="94"/>
      <c r="H33" s="16"/>
      <c r="L33" s="174"/>
      <c r="M33" s="215" t="s">
        <v>65</v>
      </c>
      <c r="N33" s="215">
        <v>24</v>
      </c>
      <c r="O33" s="215"/>
      <c r="P33" s="216"/>
      <c r="Q33" s="90"/>
      <c r="R33" s="90"/>
      <c r="S33" s="90"/>
      <c r="T33" s="90"/>
      <c r="U33" s="90"/>
      <c r="V33" s="90"/>
      <c r="X33" s="54"/>
    </row>
    <row r="34" spans="1:27" ht="12.75" customHeight="1" outlineLevel="1">
      <c r="A34" s="210"/>
      <c r="B34" s="210"/>
      <c r="C34" s="18"/>
      <c r="D34" s="17"/>
      <c r="E34" s="90"/>
      <c r="F34" s="17"/>
      <c r="G34" s="142"/>
      <c r="H34" s="186"/>
      <c r="L34" s="174"/>
      <c r="M34" s="215" t="s">
        <v>39</v>
      </c>
      <c r="N34" s="215">
        <v>25</v>
      </c>
      <c r="O34" s="215"/>
      <c r="P34" s="216"/>
      <c r="Q34" s="90"/>
      <c r="R34" s="17"/>
      <c r="S34" s="17"/>
      <c r="T34" s="17"/>
      <c r="U34" s="17"/>
      <c r="V34" s="17"/>
      <c r="X34" s="55"/>
    </row>
    <row r="35" spans="1:27" ht="12.75" customHeight="1" outlineLevel="1">
      <c r="A35" s="90"/>
      <c r="B35" s="90"/>
      <c r="C35" s="94"/>
      <c r="D35" s="238"/>
      <c r="E35" s="90"/>
      <c r="F35" s="90"/>
      <c r="G35" s="239"/>
      <c r="H35" s="16"/>
      <c r="L35" s="174"/>
      <c r="M35" s="215" t="s">
        <v>66</v>
      </c>
      <c r="N35" s="215">
        <v>26</v>
      </c>
      <c r="O35" s="215"/>
      <c r="P35" s="216"/>
      <c r="Q35" s="90"/>
      <c r="R35" s="94"/>
      <c r="S35" s="94"/>
      <c r="T35" s="90"/>
      <c r="U35" s="94"/>
      <c r="V35" s="94"/>
      <c r="X35" s="55"/>
    </row>
    <row r="36" spans="1:27" ht="12.75" customHeight="1" outlineLevel="1">
      <c r="A36" s="94"/>
      <c r="B36" s="94"/>
      <c r="C36" s="94"/>
      <c r="D36" s="238"/>
      <c r="E36" s="90"/>
      <c r="F36" s="90"/>
      <c r="G36" s="239"/>
      <c r="H36" s="16"/>
      <c r="L36" s="174"/>
      <c r="M36" s="215" t="s">
        <v>40</v>
      </c>
      <c r="N36" s="215">
        <v>27</v>
      </c>
      <c r="O36" s="215"/>
      <c r="P36" s="216"/>
      <c r="Q36" s="90"/>
      <c r="R36" s="94"/>
      <c r="S36" s="94"/>
      <c r="T36" s="90"/>
      <c r="U36" s="94"/>
      <c r="V36" s="94"/>
      <c r="X36" s="55"/>
    </row>
    <row r="37" spans="1:27" ht="12.75" customHeight="1" outlineLevel="1" thickBot="1">
      <c r="B37" s="240"/>
      <c r="C37" s="94"/>
      <c r="D37" s="238"/>
      <c r="E37" s="90"/>
      <c r="F37" s="90"/>
      <c r="G37" s="239"/>
      <c r="H37" s="16"/>
      <c r="L37" s="218"/>
      <c r="M37" s="219"/>
      <c r="N37" s="219"/>
      <c r="O37" s="219"/>
      <c r="P37" s="220"/>
      <c r="Q37" s="90"/>
      <c r="R37" s="94"/>
      <c r="S37" s="94"/>
      <c r="T37" s="90"/>
      <c r="U37" s="94"/>
      <c r="V37" s="94"/>
      <c r="X37" s="55"/>
    </row>
    <row r="38" spans="1:27" ht="12.75" customHeight="1" outlineLevel="1" thickBot="1">
      <c r="B38" s="90"/>
      <c r="C38" s="94"/>
      <c r="D38" s="238"/>
      <c r="E38" s="90"/>
      <c r="F38" s="90"/>
      <c r="G38" s="239"/>
      <c r="H38" s="16"/>
      <c r="M38" s="90"/>
      <c r="Q38" s="105"/>
      <c r="R38" s="243"/>
      <c r="S38" s="243"/>
      <c r="T38" s="105"/>
      <c r="U38" s="243"/>
      <c r="V38" s="243"/>
      <c r="X38" s="55"/>
    </row>
    <row r="39" spans="1:27" ht="15.75" customHeight="1" thickBot="1">
      <c r="A39" s="180"/>
      <c r="B39" s="143" t="s">
        <v>68</v>
      </c>
      <c r="C39" s="7"/>
      <c r="D39" s="7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241"/>
      <c r="R39" s="241"/>
      <c r="S39" s="241"/>
      <c r="T39" s="241"/>
      <c r="U39" s="241"/>
      <c r="V39" s="242"/>
      <c r="W39" s="128"/>
      <c r="X39" s="128"/>
      <c r="Y39" s="128"/>
      <c r="AA39" s="12"/>
    </row>
    <row r="40" spans="1:27" ht="12.75" customHeight="1" outlineLevel="1">
      <c r="B40" s="125"/>
      <c r="C40" s="125"/>
      <c r="D40" s="126"/>
      <c r="E40" s="125"/>
      <c r="F40" s="125"/>
      <c r="G40" s="125"/>
      <c r="H40" s="125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125"/>
      <c r="V40" s="125"/>
      <c r="W40" s="128"/>
      <c r="X40" s="128"/>
      <c r="Y40" s="128"/>
      <c r="AA40" s="12"/>
    </row>
    <row r="41" spans="1:27" ht="12.75" customHeight="1" outlineLevel="1" thickBot="1">
      <c r="F41" s="51"/>
      <c r="G41" s="16"/>
      <c r="H41" s="16"/>
      <c r="W41" s="11"/>
      <c r="X41" s="2"/>
      <c r="Y41" s="11"/>
    </row>
    <row r="42" spans="1:27" ht="12.75" customHeight="1" outlineLevel="1">
      <c r="A42" s="180"/>
      <c r="B42" s="156" t="s">
        <v>76</v>
      </c>
      <c r="C42" s="157"/>
      <c r="D42" s="162"/>
      <c r="E42" s="157"/>
      <c r="F42" s="158"/>
      <c r="G42" s="169"/>
      <c r="H42" s="135"/>
      <c r="I42" s="128"/>
      <c r="J42" s="128"/>
      <c r="K42" s="128"/>
      <c r="L42" s="128"/>
      <c r="M42" s="128"/>
      <c r="N42" s="128"/>
      <c r="O42" s="128"/>
      <c r="P42" s="128"/>
      <c r="Q42" s="128"/>
      <c r="W42" s="128"/>
      <c r="X42" s="128"/>
      <c r="Y42" s="128"/>
      <c r="AA42" s="12"/>
    </row>
    <row r="43" spans="1:27" ht="12.75" customHeight="1" outlineLevel="1" thickBot="1">
      <c r="B43" s="257"/>
      <c r="C43" s="168"/>
      <c r="D43" s="182"/>
      <c r="E43" s="168"/>
      <c r="F43" s="168"/>
      <c r="G43" s="187"/>
      <c r="H43" s="135"/>
      <c r="I43" s="128"/>
      <c r="J43" s="128"/>
      <c r="K43" s="128"/>
      <c r="L43" s="128"/>
      <c r="M43" s="128"/>
      <c r="N43" s="128"/>
      <c r="O43" s="128"/>
      <c r="P43" s="128"/>
      <c r="Q43" s="128"/>
      <c r="R43" s="136" t="s">
        <v>5</v>
      </c>
      <c r="S43" s="136" t="s">
        <v>6</v>
      </c>
      <c r="T43" s="136"/>
      <c r="U43" s="136" t="s">
        <v>75</v>
      </c>
      <c r="V43" s="136" t="s">
        <v>77</v>
      </c>
      <c r="W43" s="128"/>
      <c r="X43" s="128"/>
      <c r="Y43" s="128"/>
      <c r="AA43" s="12"/>
    </row>
    <row r="44" spans="1:27" ht="12.75" customHeight="1" outlineLevel="1">
      <c r="B44" s="227" t="s">
        <v>142</v>
      </c>
      <c r="C44" s="304"/>
      <c r="D44" s="305"/>
      <c r="E44" s="306"/>
      <c r="F44" s="307"/>
      <c r="G44" s="260">
        <f>V44</f>
        <v>650</v>
      </c>
      <c r="H44" s="129"/>
      <c r="I44" s="128"/>
      <c r="J44" s="128"/>
      <c r="K44" s="128"/>
      <c r="L44" s="128"/>
      <c r="M44" s="128"/>
      <c r="N44" s="128"/>
      <c r="O44" s="130"/>
      <c r="P44" s="130"/>
      <c r="Q44" s="128"/>
      <c r="R44" s="160"/>
      <c r="S44" s="230">
        <v>650</v>
      </c>
      <c r="T44" s="128"/>
      <c r="U44" s="232"/>
      <c r="V44" s="232">
        <f>S44</f>
        <v>650</v>
      </c>
      <c r="W44" s="128"/>
      <c r="X44" s="128"/>
    </row>
    <row r="45" spans="1:27" ht="12.75" customHeight="1" outlineLevel="1">
      <c r="B45" s="228" t="s">
        <v>176</v>
      </c>
      <c r="C45" s="235"/>
      <c r="D45" s="229"/>
      <c r="E45" s="170"/>
      <c r="F45" s="131"/>
      <c r="G45" s="303">
        <f t="shared" ref="G45:G51" si="0">V45</f>
        <v>200</v>
      </c>
      <c r="H45" s="129"/>
      <c r="I45" s="128"/>
      <c r="J45" s="128"/>
      <c r="K45" s="128"/>
      <c r="L45" s="128"/>
      <c r="M45" s="128"/>
      <c r="N45" s="128"/>
      <c r="O45" s="130"/>
      <c r="P45" s="130"/>
      <c r="Q45" s="128"/>
      <c r="R45" s="161"/>
      <c r="S45" s="231">
        <v>200</v>
      </c>
      <c r="T45" s="128"/>
      <c r="U45" s="233"/>
      <c r="V45" s="233">
        <f t="shared" ref="V45:V51" si="1">S45</f>
        <v>200</v>
      </c>
      <c r="W45" s="128"/>
      <c r="X45" s="128"/>
    </row>
    <row r="46" spans="1:27" ht="12.75" customHeight="1" outlineLevel="1">
      <c r="B46" s="228" t="s">
        <v>177</v>
      </c>
      <c r="C46" s="235"/>
      <c r="D46" s="229"/>
      <c r="E46" s="170"/>
      <c r="F46" s="131"/>
      <c r="G46" s="303">
        <f t="shared" si="0"/>
        <v>16</v>
      </c>
      <c r="H46" s="129"/>
      <c r="I46" s="128"/>
      <c r="J46" s="128"/>
      <c r="K46" s="128"/>
      <c r="L46" s="128"/>
      <c r="M46" s="128"/>
      <c r="N46" s="128"/>
      <c r="O46" s="130"/>
      <c r="P46" s="130"/>
      <c r="Q46" s="128"/>
      <c r="R46" s="161"/>
      <c r="S46" s="231">
        <v>16</v>
      </c>
      <c r="T46" s="128"/>
      <c r="U46" s="233"/>
      <c r="V46" s="233">
        <f t="shared" si="1"/>
        <v>16</v>
      </c>
      <c r="W46" s="128"/>
      <c r="X46" s="128"/>
      <c r="AA46" s="12"/>
    </row>
    <row r="47" spans="1:27" ht="12.75" customHeight="1" outlineLevel="1">
      <c r="B47" s="228" t="s">
        <v>182</v>
      </c>
      <c r="C47" s="235"/>
      <c r="D47" s="229"/>
      <c r="E47" s="170"/>
      <c r="F47" s="131"/>
      <c r="G47" s="303">
        <f t="shared" si="0"/>
        <v>1000</v>
      </c>
      <c r="H47" s="129"/>
      <c r="I47" s="128"/>
      <c r="J47" s="128"/>
      <c r="K47" s="128"/>
      <c r="L47" s="128"/>
      <c r="M47" s="128"/>
      <c r="N47" s="128"/>
      <c r="O47" s="130"/>
      <c r="P47" s="130"/>
      <c r="Q47" s="128"/>
      <c r="R47" s="161"/>
      <c r="S47" s="231">
        <v>1000</v>
      </c>
      <c r="T47" s="128"/>
      <c r="U47" s="233"/>
      <c r="V47" s="233">
        <f t="shared" si="1"/>
        <v>1000</v>
      </c>
      <c r="W47" s="128"/>
      <c r="X47" s="127"/>
      <c r="AA47" s="12"/>
    </row>
    <row r="48" spans="1:27" ht="12.75" customHeight="1" outlineLevel="1">
      <c r="B48" s="308" t="s">
        <v>198</v>
      </c>
      <c r="C48" s="309"/>
      <c r="D48" s="310"/>
      <c r="E48" s="311"/>
      <c r="F48" s="312"/>
      <c r="G48" s="313">
        <f t="shared" si="0"/>
        <v>0</v>
      </c>
      <c r="H48" s="129"/>
      <c r="I48" s="128"/>
      <c r="J48" s="128"/>
      <c r="K48" s="128"/>
      <c r="L48" s="128"/>
      <c r="M48" s="128"/>
      <c r="N48" s="128"/>
      <c r="O48" s="130"/>
      <c r="P48" s="130"/>
      <c r="Q48" s="128"/>
      <c r="R48" s="299"/>
      <c r="S48" s="300">
        <v>0</v>
      </c>
      <c r="T48" s="128"/>
      <c r="U48" s="233"/>
      <c r="V48" s="233">
        <f t="shared" si="1"/>
        <v>0</v>
      </c>
      <c r="AA48" s="12"/>
    </row>
    <row r="49" spans="2:27" ht="12.75" customHeight="1" outlineLevel="1">
      <c r="B49" s="227" t="s">
        <v>140</v>
      </c>
      <c r="C49" s="304"/>
      <c r="D49" s="305"/>
      <c r="E49" s="306"/>
      <c r="F49" s="307"/>
      <c r="G49" s="260">
        <f t="shared" si="0"/>
        <v>1</v>
      </c>
      <c r="H49" s="129"/>
      <c r="I49" s="128"/>
      <c r="J49" s="128"/>
      <c r="K49" s="128"/>
      <c r="L49" s="128"/>
      <c r="M49" s="128"/>
      <c r="N49" s="128"/>
      <c r="O49" s="130"/>
      <c r="P49" s="130"/>
      <c r="Q49" s="128"/>
      <c r="R49" s="301"/>
      <c r="S49" s="302">
        <v>1</v>
      </c>
      <c r="T49" s="128"/>
      <c r="U49" s="233"/>
      <c r="V49" s="233">
        <f t="shared" si="1"/>
        <v>1</v>
      </c>
      <c r="W49" s="128"/>
      <c r="X49" s="128"/>
      <c r="AA49" s="12"/>
    </row>
    <row r="50" spans="2:27" ht="12.75" customHeight="1" outlineLevel="1">
      <c r="B50" s="228" t="s">
        <v>141</v>
      </c>
      <c r="C50" s="235"/>
      <c r="D50" s="229"/>
      <c r="E50" s="170"/>
      <c r="F50" s="131"/>
      <c r="G50" s="303">
        <f t="shared" si="0"/>
        <v>2</v>
      </c>
      <c r="H50" s="129"/>
      <c r="I50" s="128"/>
      <c r="J50" s="128"/>
      <c r="K50" s="128"/>
      <c r="L50" s="128"/>
      <c r="M50" s="128"/>
      <c r="N50" s="128"/>
      <c r="O50" s="130"/>
      <c r="P50" s="130"/>
      <c r="Q50" s="128"/>
      <c r="R50" s="161"/>
      <c r="S50" s="231">
        <v>2</v>
      </c>
      <c r="T50" s="128"/>
      <c r="U50" s="233"/>
      <c r="V50" s="233">
        <f t="shared" si="1"/>
        <v>2</v>
      </c>
      <c r="W50" s="128"/>
      <c r="X50" s="128"/>
      <c r="AA50" s="12"/>
    </row>
    <row r="51" spans="2:27" ht="12.75" customHeight="1" outlineLevel="1" thickBot="1">
      <c r="B51" s="228" t="s">
        <v>147</v>
      </c>
      <c r="C51" s="235"/>
      <c r="D51" s="229"/>
      <c r="E51" s="170"/>
      <c r="F51" s="131"/>
      <c r="G51" s="303">
        <f t="shared" si="0"/>
        <v>4</v>
      </c>
      <c r="H51" s="129"/>
      <c r="I51" s="128"/>
      <c r="J51" s="128"/>
      <c r="K51" s="128"/>
      <c r="L51" s="128"/>
      <c r="M51" s="128"/>
      <c r="N51" s="128"/>
      <c r="O51" s="130"/>
      <c r="P51" s="130"/>
      <c r="Q51" s="128"/>
      <c r="R51" s="161"/>
      <c r="S51" s="231">
        <v>4</v>
      </c>
      <c r="T51" s="128"/>
      <c r="U51" s="234"/>
      <c r="V51" s="234">
        <f t="shared" si="1"/>
        <v>4</v>
      </c>
      <c r="W51" s="128"/>
      <c r="X51" s="128"/>
      <c r="AA51" s="12"/>
    </row>
    <row r="52" spans="2:27" ht="12.75" customHeight="1" outlineLevel="1">
      <c r="B52" s="228" t="s">
        <v>148</v>
      </c>
      <c r="C52" s="235"/>
      <c r="D52" s="229"/>
      <c r="E52" s="170"/>
      <c r="F52" s="131"/>
      <c r="G52" s="303">
        <f>V52</f>
        <v>8</v>
      </c>
      <c r="H52" s="129"/>
      <c r="I52" s="128"/>
      <c r="J52" s="128"/>
      <c r="K52" s="128"/>
      <c r="L52" s="128"/>
      <c r="M52" s="128"/>
      <c r="N52" s="128"/>
      <c r="O52" s="130"/>
      <c r="P52" s="130"/>
      <c r="Q52" s="128"/>
      <c r="R52" s="161"/>
      <c r="S52" s="231">
        <v>8</v>
      </c>
      <c r="T52" s="128"/>
      <c r="U52" s="232"/>
      <c r="V52" s="232">
        <f>S52</f>
        <v>8</v>
      </c>
      <c r="W52" s="128"/>
      <c r="X52" s="128"/>
    </row>
    <row r="53" spans="2:27" ht="12.75" customHeight="1" outlineLevel="1">
      <c r="B53" s="228" t="s">
        <v>190</v>
      </c>
      <c r="C53" s="235"/>
      <c r="D53" s="229"/>
      <c r="E53" s="170"/>
      <c r="F53" s="131"/>
      <c r="G53" s="303">
        <f t="shared" ref="G53:G62" si="2">V53</f>
        <v>16</v>
      </c>
      <c r="H53" s="129"/>
      <c r="I53" s="128"/>
      <c r="J53" s="128"/>
      <c r="K53" s="128"/>
      <c r="L53" s="128"/>
      <c r="M53" s="128"/>
      <c r="N53" s="128"/>
      <c r="O53" s="130"/>
      <c r="P53" s="130"/>
      <c r="Q53" s="128"/>
      <c r="R53" s="161"/>
      <c r="S53" s="231">
        <v>16</v>
      </c>
      <c r="T53" s="128"/>
      <c r="U53" s="233"/>
      <c r="V53" s="233">
        <f t="shared" ref="V53:V62" si="3">S53</f>
        <v>16</v>
      </c>
      <c r="W53" s="128"/>
      <c r="X53" s="128"/>
    </row>
    <row r="54" spans="2:27" ht="12.75" customHeight="1" outlineLevel="1">
      <c r="B54" s="228" t="s">
        <v>191</v>
      </c>
      <c r="C54" s="235"/>
      <c r="D54" s="229"/>
      <c r="E54" s="170"/>
      <c r="F54" s="131"/>
      <c r="G54" s="303">
        <f t="shared" si="2"/>
        <v>32</v>
      </c>
      <c r="H54" s="129"/>
      <c r="I54" s="128"/>
      <c r="J54" s="128"/>
      <c r="K54" s="128"/>
      <c r="L54" s="128"/>
      <c r="M54" s="128"/>
      <c r="N54" s="128"/>
      <c r="O54" s="130"/>
      <c r="P54" s="130"/>
      <c r="Q54" s="128"/>
      <c r="R54" s="161"/>
      <c r="S54" s="231">
        <v>32</v>
      </c>
      <c r="T54" s="128"/>
      <c r="U54" s="233"/>
      <c r="V54" s="233">
        <f t="shared" si="3"/>
        <v>32</v>
      </c>
      <c r="W54" s="128"/>
      <c r="X54" s="128"/>
      <c r="AA54" s="12"/>
    </row>
    <row r="55" spans="2:27" ht="12.75" customHeight="1" outlineLevel="1">
      <c r="B55" s="228" t="s">
        <v>192</v>
      </c>
      <c r="C55" s="235"/>
      <c r="D55" s="229"/>
      <c r="E55" s="170"/>
      <c r="F55" s="131"/>
      <c r="G55" s="303">
        <f t="shared" si="2"/>
        <v>64</v>
      </c>
      <c r="H55" s="129"/>
      <c r="I55" s="128"/>
      <c r="J55" s="128"/>
      <c r="K55" s="128"/>
      <c r="L55" s="128"/>
      <c r="M55" s="128"/>
      <c r="N55" s="128"/>
      <c r="O55" s="130"/>
      <c r="P55" s="130"/>
      <c r="Q55" s="128"/>
      <c r="R55" s="161"/>
      <c r="S55" s="231">
        <v>64</v>
      </c>
      <c r="T55" s="128"/>
      <c r="U55" s="233"/>
      <c r="V55" s="233">
        <f t="shared" si="3"/>
        <v>64</v>
      </c>
      <c r="W55" s="128"/>
      <c r="X55" s="127"/>
      <c r="AA55" s="12"/>
    </row>
    <row r="56" spans="2:27" ht="12.75" customHeight="1" outlineLevel="1">
      <c r="B56" s="228" t="s">
        <v>193</v>
      </c>
      <c r="C56" s="235"/>
      <c r="D56" s="229"/>
      <c r="E56" s="170"/>
      <c r="F56" s="131"/>
      <c r="G56" s="303">
        <f t="shared" si="2"/>
        <v>128</v>
      </c>
      <c r="H56" s="129"/>
      <c r="I56" s="128"/>
      <c r="J56" s="128"/>
      <c r="K56" s="128"/>
      <c r="L56" s="128"/>
      <c r="M56" s="128"/>
      <c r="N56" s="128"/>
      <c r="O56" s="130"/>
      <c r="P56" s="130"/>
      <c r="Q56" s="128"/>
      <c r="R56" s="161"/>
      <c r="S56" s="231">
        <v>128</v>
      </c>
      <c r="T56" s="128"/>
      <c r="U56" s="233"/>
      <c r="V56" s="233">
        <f t="shared" si="3"/>
        <v>128</v>
      </c>
      <c r="AA56" s="12"/>
    </row>
    <row r="57" spans="2:27" ht="12.75" customHeight="1" outlineLevel="1">
      <c r="B57" s="228" t="s">
        <v>194</v>
      </c>
      <c r="C57" s="235"/>
      <c r="D57" s="229"/>
      <c r="E57" s="170"/>
      <c r="F57" s="131"/>
      <c r="G57" s="303">
        <f t="shared" si="2"/>
        <v>256</v>
      </c>
      <c r="H57" s="129"/>
      <c r="I57" s="128"/>
      <c r="J57" s="128"/>
      <c r="K57" s="128"/>
      <c r="L57" s="128"/>
      <c r="M57" s="128"/>
      <c r="N57" s="128"/>
      <c r="O57" s="130"/>
      <c r="P57" s="130"/>
      <c r="Q57" s="128"/>
      <c r="R57" s="161"/>
      <c r="S57" s="231">
        <v>256</v>
      </c>
      <c r="T57" s="128"/>
      <c r="U57" s="233"/>
      <c r="V57" s="233">
        <f t="shared" si="3"/>
        <v>256</v>
      </c>
      <c r="W57" s="128"/>
      <c r="X57" s="128"/>
      <c r="AA57" s="12"/>
    </row>
    <row r="58" spans="2:27" ht="12.75" customHeight="1" outlineLevel="1">
      <c r="B58" s="228" t="s">
        <v>195</v>
      </c>
      <c r="C58" s="235"/>
      <c r="D58" s="229"/>
      <c r="E58" s="170"/>
      <c r="F58" s="131"/>
      <c r="G58" s="303">
        <f t="shared" si="2"/>
        <v>512</v>
      </c>
      <c r="H58" s="129"/>
      <c r="I58" s="128"/>
      <c r="J58" s="128"/>
      <c r="K58" s="128"/>
      <c r="L58" s="128"/>
      <c r="M58" s="128"/>
      <c r="N58" s="128"/>
      <c r="O58" s="130"/>
      <c r="P58" s="130"/>
      <c r="Q58" s="128"/>
      <c r="R58" s="161"/>
      <c r="S58" s="231">
        <v>512</v>
      </c>
      <c r="T58" s="128"/>
      <c r="U58" s="233"/>
      <c r="V58" s="233">
        <f t="shared" si="3"/>
        <v>512</v>
      </c>
      <c r="W58" s="128"/>
      <c r="X58" s="128"/>
      <c r="AA58" s="12"/>
    </row>
    <row r="59" spans="2:27" ht="12.75" customHeight="1" outlineLevel="1" thickBot="1">
      <c r="B59" s="228" t="s">
        <v>196</v>
      </c>
      <c r="C59" s="235"/>
      <c r="D59" s="229"/>
      <c r="E59" s="170"/>
      <c r="F59" s="131"/>
      <c r="G59" s="303">
        <f t="shared" si="2"/>
        <v>1024</v>
      </c>
      <c r="H59" s="129"/>
      <c r="I59" s="128"/>
      <c r="J59" s="128"/>
      <c r="K59" s="128"/>
      <c r="L59" s="128"/>
      <c r="M59" s="128"/>
      <c r="N59" s="128"/>
      <c r="O59" s="130"/>
      <c r="P59" s="130"/>
      <c r="Q59" s="128"/>
      <c r="R59" s="161"/>
      <c r="S59" s="231">
        <v>1024</v>
      </c>
      <c r="T59" s="128"/>
      <c r="U59" s="234"/>
      <c r="V59" s="234">
        <f t="shared" si="3"/>
        <v>1024</v>
      </c>
      <c r="W59" s="128"/>
      <c r="X59" s="128"/>
      <c r="AA59" s="12"/>
    </row>
    <row r="60" spans="2:27" ht="12.75" customHeight="1" outlineLevel="1">
      <c r="B60" s="308" t="s">
        <v>197</v>
      </c>
      <c r="C60" s="309"/>
      <c r="D60" s="310"/>
      <c r="E60" s="311"/>
      <c r="F60" s="312"/>
      <c r="G60" s="313">
        <f t="shared" si="2"/>
        <v>2048</v>
      </c>
      <c r="H60" s="129"/>
      <c r="I60" s="128"/>
      <c r="J60" s="128"/>
      <c r="K60" s="128"/>
      <c r="L60" s="128"/>
      <c r="M60" s="128"/>
      <c r="N60" s="128"/>
      <c r="O60" s="130"/>
      <c r="P60" s="130"/>
      <c r="Q60" s="128"/>
      <c r="R60" s="161"/>
      <c r="S60" s="231">
        <v>2048</v>
      </c>
      <c r="T60" s="128"/>
      <c r="U60" s="233"/>
      <c r="V60" s="233">
        <f t="shared" si="3"/>
        <v>2048</v>
      </c>
      <c r="W60" s="128"/>
      <c r="X60" s="128"/>
    </row>
    <row r="61" spans="2:27" ht="12.75" customHeight="1" outlineLevel="1">
      <c r="B61" s="228" t="s">
        <v>178</v>
      </c>
      <c r="C61" s="235"/>
      <c r="D61" s="229"/>
      <c r="E61" s="170"/>
      <c r="F61" s="131"/>
      <c r="G61" s="260">
        <f t="shared" si="2"/>
        <v>21</v>
      </c>
      <c r="H61" s="129"/>
      <c r="I61" s="128"/>
      <c r="J61" s="128"/>
      <c r="K61" s="128"/>
      <c r="L61" s="128"/>
      <c r="M61" s="128"/>
      <c r="N61" s="128"/>
      <c r="O61" s="130"/>
      <c r="P61" s="130"/>
      <c r="Q61" s="128"/>
      <c r="R61" s="301"/>
      <c r="S61" s="302">
        <v>21</v>
      </c>
      <c r="T61" s="128"/>
      <c r="U61" s="233"/>
      <c r="V61" s="233">
        <f t="shared" si="3"/>
        <v>21</v>
      </c>
      <c r="AA61" s="12"/>
    </row>
    <row r="62" spans="2:27" ht="12.75" customHeight="1" outlineLevel="1" thickBot="1">
      <c r="B62" s="228" t="s">
        <v>179</v>
      </c>
      <c r="C62" s="235"/>
      <c r="D62" s="229"/>
      <c r="E62" s="170"/>
      <c r="F62" s="131"/>
      <c r="G62" s="303">
        <f t="shared" si="2"/>
        <v>85</v>
      </c>
      <c r="H62" s="129"/>
      <c r="I62" s="128"/>
      <c r="J62" s="128"/>
      <c r="K62" s="128"/>
      <c r="L62" s="128"/>
      <c r="M62" s="128"/>
      <c r="N62" s="128"/>
      <c r="O62" s="130"/>
      <c r="P62" s="130"/>
      <c r="Q62" s="128"/>
      <c r="R62" s="161"/>
      <c r="S62" s="231">
        <v>85</v>
      </c>
      <c r="T62" s="128"/>
      <c r="U62" s="233"/>
      <c r="V62" s="233">
        <f t="shared" si="3"/>
        <v>85</v>
      </c>
      <c r="W62" s="128"/>
      <c r="X62" s="128"/>
      <c r="AA62" s="12"/>
    </row>
    <row r="63" spans="2:27" ht="12.75" customHeight="1" outlineLevel="1">
      <c r="B63" s="228" t="s">
        <v>180</v>
      </c>
      <c r="C63" s="235"/>
      <c r="D63" s="229"/>
      <c r="E63" s="170"/>
      <c r="F63" s="131"/>
      <c r="G63" s="303">
        <f>V63</f>
        <v>128</v>
      </c>
      <c r="H63" s="129"/>
      <c r="I63" s="128"/>
      <c r="J63" s="128"/>
      <c r="K63" s="128"/>
      <c r="L63" s="128"/>
      <c r="M63" s="128"/>
      <c r="N63" s="128"/>
      <c r="O63" s="130"/>
      <c r="P63" s="130"/>
      <c r="Q63" s="128"/>
      <c r="R63" s="161"/>
      <c r="S63" s="231">
        <v>128</v>
      </c>
      <c r="T63" s="128"/>
      <c r="U63" s="232"/>
      <c r="V63" s="232">
        <f>S63</f>
        <v>128</v>
      </c>
      <c r="W63" s="128"/>
      <c r="X63" s="128"/>
    </row>
    <row r="64" spans="2:27" ht="12.75" customHeight="1" outlineLevel="1">
      <c r="B64" s="228" t="s">
        <v>181</v>
      </c>
      <c r="C64" s="235"/>
      <c r="D64" s="229"/>
      <c r="E64" s="170"/>
      <c r="F64" s="131"/>
      <c r="G64" s="303">
        <f t="shared" ref="G64:G71" si="4">V64</f>
        <v>3</v>
      </c>
      <c r="H64" s="129"/>
      <c r="I64" s="128"/>
      <c r="J64" s="128"/>
      <c r="K64" s="128"/>
      <c r="L64" s="128"/>
      <c r="M64" s="128"/>
      <c r="N64" s="128"/>
      <c r="O64" s="130"/>
      <c r="P64" s="130"/>
      <c r="Q64" s="128"/>
      <c r="R64" s="161"/>
      <c r="S64" s="231">
        <v>3</v>
      </c>
      <c r="T64" s="128"/>
      <c r="U64" s="233"/>
      <c r="V64" s="233">
        <f t="shared" ref="V64:V70" si="5">S64</f>
        <v>3</v>
      </c>
      <c r="W64" s="128"/>
      <c r="X64" s="128"/>
    </row>
    <row r="65" spans="1:29" ht="12.75" customHeight="1" outlineLevel="1">
      <c r="B65" s="228" t="s">
        <v>199</v>
      </c>
      <c r="C65" s="235"/>
      <c r="D65" s="229"/>
      <c r="E65" s="170"/>
      <c r="F65" s="131"/>
      <c r="G65" s="303">
        <f t="shared" si="4"/>
        <v>10</v>
      </c>
      <c r="H65" s="129"/>
      <c r="I65" s="128"/>
      <c r="J65" s="128"/>
      <c r="K65" s="128"/>
      <c r="L65" s="128"/>
      <c r="M65" s="128"/>
      <c r="N65" s="128"/>
      <c r="O65" s="130"/>
      <c r="P65" s="130"/>
      <c r="Q65" s="128"/>
      <c r="R65" s="161"/>
      <c r="S65" s="231">
        <v>10</v>
      </c>
      <c r="T65" s="128"/>
      <c r="U65" s="233"/>
      <c r="V65" s="233">
        <f t="shared" si="5"/>
        <v>10</v>
      </c>
      <c r="W65" s="128"/>
      <c r="X65" s="128"/>
      <c r="AA65" s="12"/>
    </row>
    <row r="66" spans="1:29" ht="12.75" customHeight="1" outlineLevel="1">
      <c r="B66" s="228" t="s">
        <v>183</v>
      </c>
      <c r="C66" s="235"/>
      <c r="D66" s="229"/>
      <c r="E66" s="170"/>
      <c r="F66" s="131"/>
      <c r="G66" s="303">
        <f t="shared" si="4"/>
        <v>0</v>
      </c>
      <c r="H66" s="129"/>
      <c r="I66" s="128"/>
      <c r="J66" s="128"/>
      <c r="K66" s="128"/>
      <c r="L66" s="128"/>
      <c r="M66" s="128"/>
      <c r="N66" s="128"/>
      <c r="O66" s="130"/>
      <c r="P66" s="130"/>
      <c r="Q66" s="128"/>
      <c r="R66" s="161"/>
      <c r="S66" s="231">
        <v>0</v>
      </c>
      <c r="T66" s="128"/>
      <c r="U66" s="233"/>
      <c r="V66" s="233">
        <f t="shared" si="5"/>
        <v>0</v>
      </c>
      <c r="W66" s="128"/>
      <c r="X66" s="127"/>
      <c r="AA66" s="12"/>
    </row>
    <row r="67" spans="1:29" ht="12.75" customHeight="1" outlineLevel="1">
      <c r="B67" s="228" t="s">
        <v>184</v>
      </c>
      <c r="C67" s="235"/>
      <c r="D67" s="229"/>
      <c r="E67" s="170"/>
      <c r="F67" s="131"/>
      <c r="G67" s="303">
        <f t="shared" si="4"/>
        <v>1</v>
      </c>
      <c r="H67" s="129"/>
      <c r="I67" s="128"/>
      <c r="J67" s="128"/>
      <c r="K67" s="128"/>
      <c r="L67" s="128"/>
      <c r="M67" s="128"/>
      <c r="N67" s="128"/>
      <c r="O67" s="130"/>
      <c r="P67" s="130"/>
      <c r="Q67" s="128"/>
      <c r="R67" s="161"/>
      <c r="S67" s="231">
        <v>1</v>
      </c>
      <c r="T67" s="128"/>
      <c r="U67" s="233"/>
      <c r="V67" s="233">
        <f t="shared" si="5"/>
        <v>1</v>
      </c>
      <c r="AA67" s="12"/>
    </row>
    <row r="68" spans="1:29" ht="12.75" customHeight="1" outlineLevel="1">
      <c r="B68" s="228" t="s">
        <v>185</v>
      </c>
      <c r="C68" s="235"/>
      <c r="D68" s="229"/>
      <c r="E68" s="170"/>
      <c r="F68" s="131"/>
      <c r="G68" s="303">
        <f t="shared" si="4"/>
        <v>2</v>
      </c>
      <c r="H68" s="129"/>
      <c r="I68" s="128"/>
      <c r="J68" s="128"/>
      <c r="K68" s="128"/>
      <c r="L68" s="128"/>
      <c r="M68" s="128"/>
      <c r="N68" s="128"/>
      <c r="O68" s="130"/>
      <c r="P68" s="130"/>
      <c r="Q68" s="128"/>
      <c r="R68" s="161"/>
      <c r="S68" s="231">
        <v>2</v>
      </c>
      <c r="T68" s="128"/>
      <c r="U68" s="233"/>
      <c r="V68" s="233">
        <f t="shared" si="5"/>
        <v>2</v>
      </c>
      <c r="W68" s="128"/>
      <c r="X68" s="128"/>
      <c r="AA68" s="12"/>
    </row>
    <row r="69" spans="1:29" ht="12.75" customHeight="1" outlineLevel="1">
      <c r="B69" s="228" t="s">
        <v>186</v>
      </c>
      <c r="C69" s="235"/>
      <c r="D69" s="229"/>
      <c r="E69" s="170"/>
      <c r="F69" s="131"/>
      <c r="G69" s="303">
        <f>V69</f>
        <v>3</v>
      </c>
      <c r="H69" s="129"/>
      <c r="I69" s="128"/>
      <c r="J69" s="128"/>
      <c r="K69" s="128"/>
      <c r="L69" s="128"/>
      <c r="M69" s="128"/>
      <c r="N69" s="128"/>
      <c r="O69" s="130"/>
      <c r="P69" s="130"/>
      <c r="Q69" s="128"/>
      <c r="R69" s="161"/>
      <c r="S69" s="231">
        <v>3</v>
      </c>
      <c r="T69" s="128"/>
      <c r="U69" s="233"/>
      <c r="V69" s="233">
        <f>S69</f>
        <v>3</v>
      </c>
      <c r="W69" s="128"/>
      <c r="X69" s="128"/>
      <c r="AA69" s="12"/>
    </row>
    <row r="70" spans="1:29" ht="12.75" customHeight="1" outlineLevel="1">
      <c r="B70" s="228" t="s">
        <v>187</v>
      </c>
      <c r="C70" s="235"/>
      <c r="D70" s="229"/>
      <c r="E70" s="170"/>
      <c r="F70" s="131"/>
      <c r="G70" s="303">
        <f t="shared" si="4"/>
        <v>1</v>
      </c>
      <c r="H70" s="129"/>
      <c r="I70" s="128"/>
      <c r="J70" s="128"/>
      <c r="K70" s="128"/>
      <c r="L70" s="128"/>
      <c r="M70" s="128"/>
      <c r="N70" s="128"/>
      <c r="O70" s="130"/>
      <c r="P70" s="130"/>
      <c r="Q70" s="128"/>
      <c r="R70" s="161"/>
      <c r="S70" s="231">
        <v>1</v>
      </c>
      <c r="T70" s="128"/>
      <c r="U70" s="233"/>
      <c r="V70" s="233">
        <f t="shared" si="5"/>
        <v>1</v>
      </c>
      <c r="W70" s="128"/>
      <c r="X70" s="128"/>
      <c r="AA70" s="12"/>
    </row>
    <row r="71" spans="1:29" ht="12.75" customHeight="1" outlineLevel="1" thickBot="1">
      <c r="B71" s="228" t="s">
        <v>188</v>
      </c>
      <c r="C71" s="235"/>
      <c r="D71" s="229"/>
      <c r="E71" s="170"/>
      <c r="F71" s="131"/>
      <c r="G71" s="313">
        <f t="shared" si="4"/>
        <v>9</v>
      </c>
      <c r="H71" s="330" t="str">
        <f xml:space="preserve"> CONCATENATE(G71/10,"V/sec")</f>
        <v>0.9V/sec</v>
      </c>
      <c r="I71" s="128"/>
      <c r="J71" s="128"/>
      <c r="K71" s="128"/>
      <c r="L71" s="128"/>
      <c r="M71" s="128"/>
      <c r="N71" s="128"/>
      <c r="O71" s="130"/>
      <c r="P71" s="130"/>
      <c r="Q71" s="128"/>
      <c r="R71" s="324"/>
      <c r="S71" s="325">
        <v>9</v>
      </c>
      <c r="T71" s="128"/>
      <c r="U71" s="234"/>
      <c r="V71" s="234">
        <f>S71</f>
        <v>9</v>
      </c>
      <c r="W71" s="128"/>
      <c r="X71" s="128"/>
      <c r="AA71" s="12"/>
    </row>
    <row r="72" spans="1:29" ht="12.75" customHeight="1" outlineLevel="1" thickBot="1">
      <c r="B72" s="228" t="s">
        <v>189</v>
      </c>
      <c r="C72" s="235"/>
      <c r="D72" s="229"/>
      <c r="E72" s="170"/>
      <c r="F72" s="131"/>
      <c r="G72" s="313">
        <f>V72</f>
        <v>20</v>
      </c>
      <c r="H72" s="330" t="str">
        <f xml:space="preserve"> CONCATENATE(G72/100,"V")</f>
        <v>0.2V</v>
      </c>
      <c r="I72" s="128"/>
      <c r="J72" s="128"/>
      <c r="K72" s="128"/>
      <c r="L72" s="128"/>
      <c r="M72" s="128"/>
      <c r="N72" s="128"/>
      <c r="O72" s="130"/>
      <c r="P72" s="130"/>
      <c r="Q72" s="128"/>
      <c r="R72" s="324"/>
      <c r="S72" s="325">
        <v>20</v>
      </c>
      <c r="T72" s="128"/>
      <c r="U72" s="234"/>
      <c r="V72" s="234">
        <f>S72</f>
        <v>20</v>
      </c>
      <c r="W72" s="128"/>
      <c r="X72" s="128"/>
      <c r="AA72" s="12"/>
    </row>
    <row r="73" spans="1:29" ht="12.75" customHeight="1" outlineLevel="1">
      <c r="B73" s="316"/>
      <c r="C73" s="170"/>
      <c r="D73" s="131"/>
      <c r="E73" s="314"/>
      <c r="F73" s="315"/>
      <c r="G73" s="317"/>
      <c r="H73" s="132"/>
      <c r="I73" s="132"/>
      <c r="J73" s="132"/>
      <c r="K73" s="132"/>
      <c r="L73" s="132"/>
      <c r="M73" s="132"/>
      <c r="N73" s="132"/>
      <c r="O73" s="132"/>
      <c r="P73" s="132"/>
      <c r="Q73" s="133"/>
      <c r="R73" s="134"/>
      <c r="S73" s="134"/>
      <c r="T73" s="134"/>
      <c r="U73" s="134"/>
      <c r="V73" s="167"/>
      <c r="W73" s="128"/>
      <c r="X73" s="128"/>
      <c r="AA73" s="12"/>
    </row>
    <row r="74" spans="1:29" ht="12.75" customHeight="1" outlineLevel="1" thickBot="1">
      <c r="B74" s="163"/>
      <c r="C74" s="171"/>
      <c r="D74" s="159"/>
      <c r="E74" s="164"/>
      <c r="F74" s="165"/>
      <c r="G74" s="166"/>
      <c r="H74" s="132"/>
      <c r="I74" s="132"/>
      <c r="J74" s="132"/>
      <c r="K74" s="132"/>
      <c r="L74" s="132"/>
      <c r="M74" s="132"/>
      <c r="N74" s="132"/>
      <c r="O74" s="132"/>
      <c r="P74" s="132"/>
      <c r="Q74" s="133"/>
      <c r="R74" s="134"/>
      <c r="S74" s="134"/>
      <c r="T74" s="134"/>
      <c r="U74" s="134"/>
      <c r="V74" s="167"/>
      <c r="W74" s="128"/>
      <c r="X74" s="128"/>
      <c r="AA74" s="12"/>
    </row>
    <row r="75" spans="1:29" ht="12.75" customHeight="1" outlineLevel="1">
      <c r="B75" s="51"/>
      <c r="D75" s="94"/>
      <c r="E75" s="51"/>
      <c r="F75" s="51"/>
      <c r="G75" s="94"/>
      <c r="H75" s="90"/>
      <c r="I75" s="51"/>
      <c r="J75" s="51"/>
      <c r="K75" s="51"/>
      <c r="L75" s="51"/>
      <c r="M75" s="51"/>
      <c r="N75" s="51"/>
      <c r="O75" s="51"/>
      <c r="P75" s="51"/>
      <c r="Q75" s="16"/>
      <c r="V75" s="90"/>
      <c r="X75" s="54"/>
    </row>
    <row r="76" spans="1:29" ht="12.75" customHeight="1" outlineLevel="1" thickBot="1">
      <c r="B76" s="51"/>
      <c r="D76" s="94"/>
      <c r="E76" s="51"/>
      <c r="F76" s="51"/>
      <c r="G76" s="94"/>
      <c r="H76" s="90"/>
      <c r="I76" s="51"/>
      <c r="J76" s="51"/>
      <c r="K76" s="51"/>
      <c r="L76" s="51"/>
      <c r="M76" s="51"/>
      <c r="N76" s="51"/>
      <c r="O76" s="51"/>
      <c r="P76" s="51"/>
      <c r="Q76" s="16"/>
      <c r="U76" s="249"/>
      <c r="V76" s="90"/>
      <c r="X76" s="54"/>
    </row>
    <row r="77" spans="1:29" ht="12.75" customHeight="1" thickBot="1">
      <c r="A77" s="175"/>
      <c r="B77" s="143" t="s">
        <v>100</v>
      </c>
      <c r="C77" s="7" t="s">
        <v>101</v>
      </c>
      <c r="D77" s="7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10"/>
      <c r="W77" s="11"/>
      <c r="X77" s="12"/>
      <c r="Y77" s="11"/>
      <c r="Z77" s="11"/>
      <c r="AA77" s="11"/>
      <c r="AB77" s="11"/>
      <c r="AC77" s="11"/>
    </row>
    <row r="78" spans="1:29" ht="13.5" customHeight="1" outlineLevel="1" thickBot="1">
      <c r="A78" s="11"/>
      <c r="B78" s="11"/>
      <c r="C78" s="78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</row>
    <row r="79" spans="1:29" ht="13.5" outlineLevel="1" thickBot="1">
      <c r="A79" s="210"/>
      <c r="B79" s="246" t="s">
        <v>104</v>
      </c>
      <c r="C79" s="281" t="s">
        <v>102</v>
      </c>
      <c r="D79" s="282"/>
      <c r="E79" s="281"/>
      <c r="F79" s="282" t="s">
        <v>103</v>
      </c>
      <c r="G79" s="284" t="s">
        <v>85</v>
      </c>
      <c r="Q79" s="15"/>
      <c r="R79" s="184"/>
      <c r="S79" s="6"/>
      <c r="U79" s="6" t="s">
        <v>7</v>
      </c>
      <c r="V79" s="6" t="s">
        <v>8</v>
      </c>
    </row>
    <row r="80" spans="1:29" outlineLevel="1">
      <c r="A80" s="144"/>
      <c r="B80" s="247" t="s">
        <v>105</v>
      </c>
      <c r="C80" s="283"/>
      <c r="D80" s="331">
        <f t="shared" ref="D80:D86" si="6">TRUNC(R80,2)</f>
        <v>0</v>
      </c>
      <c r="E80" s="283"/>
      <c r="F80" s="270"/>
      <c r="G80" s="289">
        <f>TRUNC(S80/10-64,2)</f>
        <v>-10</v>
      </c>
      <c r="R80" s="353">
        <v>0</v>
      </c>
      <c r="S80" s="147">
        <v>540</v>
      </c>
      <c r="T80" t="s">
        <v>107</v>
      </c>
      <c r="U80" s="348" t="str">
        <f>DEC2HEX(ROUNDDOWN(R80/256,0),2)</f>
        <v>00</v>
      </c>
      <c r="V80" s="68" t="str">
        <f>DEC2HEX(ROUNDDOWN(S80/256,0),2)</f>
        <v>02</v>
      </c>
    </row>
    <row r="81" spans="1:23" ht="13.5" outlineLevel="1" thickBot="1">
      <c r="A81" s="144"/>
      <c r="B81" s="248"/>
      <c r="C81" s="283"/>
      <c r="D81" s="332">
        <f t="shared" si="6"/>
        <v>1</v>
      </c>
      <c r="E81" s="283"/>
      <c r="F81" s="270"/>
      <c r="G81" s="290">
        <f>TRUNC(S81/10-64,2)</f>
        <v>-10</v>
      </c>
      <c r="R81" s="354">
        <v>1</v>
      </c>
      <c r="S81" s="147">
        <v>540</v>
      </c>
      <c r="T81" t="s">
        <v>108</v>
      </c>
      <c r="U81" s="349" t="str">
        <f>DEC2HEX(ROUNDDOWN((R80-U80*256),0),2)</f>
        <v>00</v>
      </c>
      <c r="V81" s="69" t="str">
        <f>DEC2HEX(ROUNDDOWN((S80-V80*256),0),2)</f>
        <v>1C</v>
      </c>
    </row>
    <row r="82" spans="1:23" outlineLevel="1">
      <c r="A82" s="90"/>
      <c r="B82" s="269"/>
      <c r="C82" s="283"/>
      <c r="D82" s="332">
        <f t="shared" si="6"/>
        <v>2</v>
      </c>
      <c r="E82" s="283"/>
      <c r="F82" s="270"/>
      <c r="G82" s="290">
        <f t="shared" ref="G82:G86" si="7">TRUNC(S82/10-64,2)</f>
        <v>-10</v>
      </c>
      <c r="R82" s="354">
        <v>2</v>
      </c>
      <c r="S82" s="147">
        <v>540</v>
      </c>
      <c r="U82" s="349" t="str">
        <f>DEC2HEX(ROUNDDOWN(R81/256,0),2)</f>
        <v>00</v>
      </c>
      <c r="V82" s="69" t="str">
        <f>DEC2HEX(ROUNDDOWN(S81/256,0),2)</f>
        <v>02</v>
      </c>
    </row>
    <row r="83" spans="1:23" outlineLevel="1">
      <c r="A83" s="90"/>
      <c r="B83" s="269"/>
      <c r="C83" s="283"/>
      <c r="D83" s="332">
        <f t="shared" si="6"/>
        <v>3</v>
      </c>
      <c r="E83" s="283"/>
      <c r="F83" s="270"/>
      <c r="G83" s="290">
        <f t="shared" si="7"/>
        <v>-10</v>
      </c>
      <c r="R83" s="354">
        <v>3</v>
      </c>
      <c r="S83" s="147">
        <v>540</v>
      </c>
      <c r="U83" s="349" t="str">
        <f>DEC2HEX((R81-U82*256),2)</f>
        <v>01</v>
      </c>
      <c r="V83" s="69" t="str">
        <f>DEC2HEX((S81-V82*256),2)</f>
        <v>1C</v>
      </c>
    </row>
    <row r="84" spans="1:23" outlineLevel="1">
      <c r="A84" s="90"/>
      <c r="B84" s="269"/>
      <c r="C84" s="283"/>
      <c r="D84" s="332">
        <f t="shared" si="6"/>
        <v>4</v>
      </c>
      <c r="E84" s="270"/>
      <c r="F84" s="270"/>
      <c r="G84" s="290">
        <f t="shared" si="7"/>
        <v>-10</v>
      </c>
      <c r="R84" s="354">
        <v>4</v>
      </c>
      <c r="S84" s="147">
        <v>540</v>
      </c>
      <c r="U84" s="349" t="str">
        <f>DEC2HEX(ROUNDDOWN(R82/256,0),2)</f>
        <v>00</v>
      </c>
      <c r="V84" s="69" t="str">
        <f>DEC2HEX(ROUNDDOWN(S82/256,0),2)</f>
        <v>02</v>
      </c>
    </row>
    <row r="85" spans="1:23" outlineLevel="1">
      <c r="A85" s="90"/>
      <c r="B85" s="269"/>
      <c r="C85" s="283"/>
      <c r="D85" s="332">
        <f t="shared" si="6"/>
        <v>5</v>
      </c>
      <c r="E85" s="270"/>
      <c r="F85" s="270"/>
      <c r="G85" s="290">
        <f t="shared" si="7"/>
        <v>-10</v>
      </c>
      <c r="R85" s="354">
        <v>5</v>
      </c>
      <c r="S85" s="147">
        <v>540</v>
      </c>
      <c r="U85" s="349" t="str">
        <f>DEC2HEX((R82-U84*256),2)</f>
        <v>02</v>
      </c>
      <c r="V85" s="69" t="str">
        <f>DEC2HEX((S82-V84*256),2)</f>
        <v>1C</v>
      </c>
    </row>
    <row r="86" spans="1:23" ht="13.5" outlineLevel="1" thickBot="1">
      <c r="A86" s="90"/>
      <c r="B86" s="269"/>
      <c r="C86" s="270"/>
      <c r="D86" s="332">
        <f t="shared" si="6"/>
        <v>6</v>
      </c>
      <c r="E86" s="270"/>
      <c r="F86" s="270"/>
      <c r="G86" s="290">
        <f t="shared" si="7"/>
        <v>-10</v>
      </c>
      <c r="R86" s="355">
        <v>6</v>
      </c>
      <c r="S86" s="147">
        <v>540</v>
      </c>
      <c r="U86" s="349" t="str">
        <f>DEC2HEX(ROUNDDOWN(R83/256,0),2)</f>
        <v>00</v>
      </c>
      <c r="V86" s="69" t="str">
        <f>DEC2HEX(ROUNDDOWN(S83/256,0),2)</f>
        <v>02</v>
      </c>
    </row>
    <row r="87" spans="1:23" outlineLevel="1">
      <c r="A87" s="90"/>
      <c r="B87" s="269"/>
      <c r="C87" s="270"/>
      <c r="D87" s="268"/>
      <c r="E87" s="270"/>
      <c r="F87" s="270"/>
      <c r="G87" s="323"/>
      <c r="R87" s="94"/>
      <c r="S87" s="94"/>
      <c r="U87" s="349" t="str">
        <f>DEC2HEX((R83-U86*256),2)</f>
        <v>03</v>
      </c>
      <c r="V87" s="69" t="str">
        <f>DEC2HEX((S83-V86*256),2)</f>
        <v>1C</v>
      </c>
    </row>
    <row r="88" spans="1:23" outlineLevel="1">
      <c r="A88" s="90"/>
      <c r="B88" s="269"/>
      <c r="C88" s="270"/>
      <c r="D88" s="268"/>
      <c r="E88" s="270"/>
      <c r="F88" s="270"/>
      <c r="G88" s="323"/>
      <c r="R88" s="94"/>
      <c r="S88" s="94"/>
      <c r="U88" s="349" t="str">
        <f>DEC2HEX(ROUNDDOWN(R84/256,0),2)</f>
        <v>00</v>
      </c>
      <c r="V88" s="69" t="str">
        <f>DEC2HEX(ROUNDDOWN(S84/256,0),2)</f>
        <v>02</v>
      </c>
    </row>
    <row r="89" spans="1:23" outlineLevel="1">
      <c r="A89" s="90"/>
      <c r="B89" s="269"/>
      <c r="C89" s="270"/>
      <c r="D89" s="270"/>
      <c r="E89" s="270"/>
      <c r="F89" s="270"/>
      <c r="G89" s="271"/>
      <c r="R89" s="15"/>
      <c r="S89" s="1"/>
      <c r="U89" s="349" t="str">
        <f>DEC2HEX((R84-U88*256),2)</f>
        <v>04</v>
      </c>
      <c r="V89" s="69" t="str">
        <f>DEC2HEX((S84-V88*256),2)</f>
        <v>1C</v>
      </c>
    </row>
    <row r="90" spans="1:23" outlineLevel="1">
      <c r="A90" s="211"/>
      <c r="B90" s="272"/>
      <c r="C90" s="273"/>
      <c r="D90" s="273"/>
      <c r="E90" s="273"/>
      <c r="F90" s="274"/>
      <c r="G90" s="271"/>
      <c r="H90" s="4"/>
      <c r="I90" s="4"/>
      <c r="J90" s="4"/>
      <c r="K90" s="4"/>
      <c r="L90" s="4"/>
      <c r="M90" s="4"/>
      <c r="N90" s="4"/>
      <c r="O90" s="4"/>
      <c r="P90" s="5"/>
      <c r="R90" s="185"/>
      <c r="S90" s="19"/>
      <c r="U90" s="349" t="str">
        <f>DEC2HEX(ROUNDDOWN(R85/256,0),2)</f>
        <v>00</v>
      </c>
      <c r="V90" s="69" t="str">
        <f>DEC2HEX(ROUNDDOWN(S85/256,0),2)</f>
        <v>02</v>
      </c>
      <c r="W90" s="138"/>
    </row>
    <row r="91" spans="1:23" outlineLevel="1">
      <c r="A91" s="211"/>
      <c r="B91" s="272"/>
      <c r="C91" s="273"/>
      <c r="D91" s="273"/>
      <c r="E91" s="273"/>
      <c r="F91" s="274"/>
      <c r="G91" s="271"/>
      <c r="H91" s="4"/>
      <c r="I91" s="4"/>
      <c r="J91" s="4"/>
      <c r="K91" s="4"/>
      <c r="L91" s="4"/>
      <c r="M91" s="4"/>
      <c r="N91" s="4"/>
      <c r="O91" s="4"/>
      <c r="P91" s="5"/>
      <c r="R91" s="185"/>
      <c r="S91" s="19"/>
      <c r="U91" s="349" t="str">
        <f>DEC2HEX((R85-U90*256),2)</f>
        <v>05</v>
      </c>
      <c r="V91" s="69" t="str">
        <f>DEC2HEX((S85-V90*256),2)</f>
        <v>1C</v>
      </c>
      <c r="W91" s="138"/>
    </row>
    <row r="92" spans="1:23" outlineLevel="1">
      <c r="A92" s="211"/>
      <c r="B92" s="272"/>
      <c r="C92" s="273"/>
      <c r="D92" s="273"/>
      <c r="E92" s="273"/>
      <c r="F92" s="274"/>
      <c r="G92" s="271"/>
      <c r="H92" s="4"/>
      <c r="I92" s="4"/>
      <c r="J92" s="4"/>
      <c r="K92" s="4"/>
      <c r="L92" s="4"/>
      <c r="M92" s="4"/>
      <c r="N92" s="4"/>
      <c r="O92" s="4"/>
      <c r="P92" s="5"/>
      <c r="R92" s="185"/>
      <c r="S92" s="19"/>
      <c r="U92" s="349" t="str">
        <f>DEC2HEX(ROUNDDOWN(R86/256,0),2)</f>
        <v>00</v>
      </c>
      <c r="V92" s="69" t="str">
        <f>DEC2HEX(ROUNDDOWN(S86/256,0),2)</f>
        <v>02</v>
      </c>
      <c r="W92" s="138"/>
    </row>
    <row r="93" spans="1:23" ht="13.5" outlineLevel="1" thickBot="1">
      <c r="A93" s="211"/>
      <c r="B93" s="272"/>
      <c r="C93" s="273"/>
      <c r="D93" s="273"/>
      <c r="E93" s="273"/>
      <c r="F93" s="274"/>
      <c r="G93" s="271"/>
      <c r="H93" s="4"/>
      <c r="I93" s="4"/>
      <c r="J93" s="4"/>
      <c r="K93" s="4"/>
      <c r="L93" s="4"/>
      <c r="M93" s="4"/>
      <c r="N93" s="4"/>
      <c r="O93" s="4"/>
      <c r="P93" s="5"/>
      <c r="R93" s="185"/>
      <c r="S93" s="19"/>
      <c r="U93" s="350" t="str">
        <f>DEC2HEX((R86-U92*256),2)</f>
        <v>06</v>
      </c>
      <c r="V93" s="70" t="str">
        <f>DEC2HEX((S86-V92*256),2)</f>
        <v>1C</v>
      </c>
      <c r="W93" s="138"/>
    </row>
    <row r="94" spans="1:23" ht="13.5" outlineLevel="1" thickBot="1">
      <c r="A94" s="211"/>
      <c r="B94" s="246" t="s">
        <v>104</v>
      </c>
      <c r="C94" s="281"/>
      <c r="D94" s="282"/>
      <c r="E94" s="281"/>
      <c r="F94" s="282" t="s">
        <v>103</v>
      </c>
      <c r="G94" s="284" t="s">
        <v>85</v>
      </c>
      <c r="H94" s="4"/>
      <c r="I94" s="4"/>
      <c r="J94" s="4"/>
      <c r="K94" s="4"/>
      <c r="L94" s="4"/>
      <c r="M94" s="4"/>
      <c r="N94" s="4"/>
      <c r="O94" s="4"/>
      <c r="P94" s="5"/>
      <c r="R94" s="185"/>
      <c r="S94" s="19"/>
      <c r="U94" s="94"/>
      <c r="V94" s="94"/>
      <c r="W94" s="138"/>
    </row>
    <row r="95" spans="1:23" outlineLevel="1">
      <c r="A95" s="144"/>
      <c r="B95" s="247" t="s">
        <v>105</v>
      </c>
      <c r="C95" s="283"/>
      <c r="D95" s="268"/>
      <c r="E95" s="283"/>
      <c r="F95" s="270"/>
      <c r="G95" s="289">
        <f>TRUNC(S95/10-64,2)</f>
        <v>-7</v>
      </c>
      <c r="R95" s="146"/>
      <c r="S95" s="147">
        <v>570</v>
      </c>
      <c r="U95" s="68"/>
      <c r="V95" s="68" t="str">
        <f>DEC2HEX(ROUNDDOWN(S95/256,0),2)</f>
        <v>02</v>
      </c>
    </row>
    <row r="96" spans="1:23" ht="13.5" outlineLevel="1" thickBot="1">
      <c r="A96" s="144"/>
      <c r="B96" s="248"/>
      <c r="C96" s="283"/>
      <c r="D96" s="268"/>
      <c r="E96" s="283"/>
      <c r="F96" s="270"/>
      <c r="G96" s="290">
        <f>TRUNC(S96/10-64,2)</f>
        <v>-7</v>
      </c>
      <c r="R96" s="147"/>
      <c r="S96" s="147">
        <v>570</v>
      </c>
      <c r="T96" t="s">
        <v>109</v>
      </c>
      <c r="U96" s="69"/>
      <c r="V96" s="69" t="str">
        <f>DEC2HEX(ROUNDDOWN((S95-V95*256),0),2)</f>
        <v>3A</v>
      </c>
    </row>
    <row r="97" spans="1:23" outlineLevel="1">
      <c r="A97" s="90"/>
      <c r="B97" s="269"/>
      <c r="C97" s="283"/>
      <c r="D97" s="268"/>
      <c r="E97" s="283"/>
      <c r="F97" s="270"/>
      <c r="G97" s="290">
        <f t="shared" ref="G97:G101" si="8">TRUNC(S97/10-64,2)</f>
        <v>-7</v>
      </c>
      <c r="R97" s="147"/>
      <c r="S97" s="147">
        <v>570</v>
      </c>
      <c r="U97" s="69"/>
      <c r="V97" s="69" t="str">
        <f>DEC2HEX(ROUNDDOWN(S96/256,0),2)</f>
        <v>02</v>
      </c>
    </row>
    <row r="98" spans="1:23" outlineLevel="1">
      <c r="A98" s="90"/>
      <c r="B98" s="269"/>
      <c r="C98" s="283"/>
      <c r="D98" s="268"/>
      <c r="E98" s="283"/>
      <c r="F98" s="270"/>
      <c r="G98" s="290">
        <f t="shared" si="8"/>
        <v>-7</v>
      </c>
      <c r="R98" s="147"/>
      <c r="S98" s="147">
        <v>570</v>
      </c>
      <c r="U98" s="69"/>
      <c r="V98" s="69" t="str">
        <f>DEC2HEX((S96-V97*256),2)</f>
        <v>3A</v>
      </c>
    </row>
    <row r="99" spans="1:23" outlineLevel="1">
      <c r="A99" s="90"/>
      <c r="B99" s="269"/>
      <c r="C99" s="283"/>
      <c r="D99" s="268"/>
      <c r="E99" s="270"/>
      <c r="F99" s="270"/>
      <c r="G99" s="290">
        <f t="shared" si="8"/>
        <v>-7</v>
      </c>
      <c r="R99" s="147"/>
      <c r="S99" s="147">
        <v>570</v>
      </c>
      <c r="U99" s="69"/>
      <c r="V99" s="69" t="str">
        <f>DEC2HEX(ROUNDDOWN(S97/256,0),2)</f>
        <v>02</v>
      </c>
    </row>
    <row r="100" spans="1:23" outlineLevel="1">
      <c r="A100" s="90"/>
      <c r="B100" s="269"/>
      <c r="C100" s="283"/>
      <c r="D100" s="268"/>
      <c r="E100" s="270"/>
      <c r="F100" s="270"/>
      <c r="G100" s="290">
        <f t="shared" si="8"/>
        <v>-7</v>
      </c>
      <c r="R100" s="147"/>
      <c r="S100" s="147">
        <v>570</v>
      </c>
      <c r="U100" s="69"/>
      <c r="V100" s="69" t="str">
        <f>DEC2HEX((S97-V99*256),2)</f>
        <v>3A</v>
      </c>
    </row>
    <row r="101" spans="1:23" outlineLevel="1">
      <c r="A101" s="90"/>
      <c r="B101" s="269"/>
      <c r="C101" s="270"/>
      <c r="D101" s="268"/>
      <c r="E101" s="270"/>
      <c r="F101" s="270"/>
      <c r="G101" s="290">
        <f t="shared" si="8"/>
        <v>-7</v>
      </c>
      <c r="R101" s="147"/>
      <c r="S101" s="147">
        <v>570</v>
      </c>
      <c r="U101" s="69"/>
      <c r="V101" s="69" t="str">
        <f>DEC2HEX(ROUNDDOWN(S98/256,0),2)</f>
        <v>02</v>
      </c>
    </row>
    <row r="102" spans="1:23" outlineLevel="1">
      <c r="A102" s="90"/>
      <c r="B102" s="269"/>
      <c r="C102" s="270"/>
      <c r="D102" s="268"/>
      <c r="E102" s="270"/>
      <c r="F102" s="270"/>
      <c r="G102" s="323"/>
      <c r="R102" s="94"/>
      <c r="S102" s="94"/>
      <c r="U102" s="69"/>
      <c r="V102" s="69" t="str">
        <f>DEC2HEX((S98-V101*256),2)</f>
        <v>3A</v>
      </c>
    </row>
    <row r="103" spans="1:23" outlineLevel="1">
      <c r="A103" s="90"/>
      <c r="B103" s="269"/>
      <c r="C103" s="270"/>
      <c r="D103" s="268"/>
      <c r="E103" s="270"/>
      <c r="F103" s="270"/>
      <c r="G103" s="323"/>
      <c r="R103" s="94"/>
      <c r="S103" s="94"/>
      <c r="U103" s="69"/>
      <c r="V103" s="69" t="str">
        <f>DEC2HEX(ROUNDDOWN(S99/256,0),2)</f>
        <v>02</v>
      </c>
    </row>
    <row r="104" spans="1:23" outlineLevel="1">
      <c r="A104" s="90"/>
      <c r="B104" s="269"/>
      <c r="C104" s="270"/>
      <c r="D104" s="270"/>
      <c r="E104" s="270"/>
      <c r="F104" s="270"/>
      <c r="G104" s="271"/>
      <c r="R104" s="15"/>
      <c r="S104" s="1"/>
      <c r="U104" s="69"/>
      <c r="V104" s="69" t="str">
        <f>DEC2HEX((S99-V103*256),2)</f>
        <v>3A</v>
      </c>
    </row>
    <row r="105" spans="1:23" outlineLevel="1">
      <c r="A105" s="211"/>
      <c r="B105" s="272"/>
      <c r="C105" s="273"/>
      <c r="D105" s="273"/>
      <c r="E105" s="273"/>
      <c r="F105" s="274"/>
      <c r="G105" s="271"/>
      <c r="H105" s="4"/>
      <c r="I105" s="4"/>
      <c r="J105" s="4"/>
      <c r="K105" s="4"/>
      <c r="L105" s="4"/>
      <c r="M105" s="4"/>
      <c r="N105" s="4"/>
      <c r="O105" s="4"/>
      <c r="P105" s="5"/>
      <c r="R105" s="185"/>
      <c r="S105" s="19"/>
      <c r="U105" s="69"/>
      <c r="V105" s="69" t="str">
        <f>DEC2HEX(ROUNDDOWN(S100/256,0),2)</f>
        <v>02</v>
      </c>
      <c r="W105" s="138"/>
    </row>
    <row r="106" spans="1:23" ht="13.5" outlineLevel="1" thickBot="1">
      <c r="A106" s="211"/>
      <c r="B106" s="272"/>
      <c r="C106" s="273"/>
      <c r="D106" s="273"/>
      <c r="E106" s="273"/>
      <c r="F106" s="274"/>
      <c r="G106" s="271"/>
      <c r="H106" s="4"/>
      <c r="I106" s="4"/>
      <c r="J106" s="4"/>
      <c r="K106" s="4"/>
      <c r="L106" s="4"/>
      <c r="M106" s="4"/>
      <c r="N106" s="4"/>
      <c r="O106" s="4"/>
      <c r="P106" s="5"/>
      <c r="R106" s="185"/>
      <c r="S106" s="19"/>
      <c r="U106" s="70"/>
      <c r="V106" s="70" t="str">
        <f>DEC2HEX((S100-V105*256),2)</f>
        <v>3A</v>
      </c>
      <c r="W106" s="138"/>
    </row>
    <row r="107" spans="1:23" outlineLevel="1">
      <c r="A107" s="211"/>
      <c r="B107" s="272"/>
      <c r="C107" s="273"/>
      <c r="D107" s="273"/>
      <c r="E107" s="273"/>
      <c r="F107" s="274"/>
      <c r="G107" s="271"/>
      <c r="H107" s="4"/>
      <c r="I107" s="4"/>
      <c r="J107" s="4"/>
      <c r="K107" s="4"/>
      <c r="L107" s="4"/>
      <c r="M107" s="4"/>
      <c r="N107" s="4"/>
      <c r="O107" s="4"/>
      <c r="P107" s="5"/>
      <c r="R107" s="185"/>
      <c r="S107" s="19"/>
      <c r="U107" s="349"/>
      <c r="V107" s="69" t="str">
        <f>DEC2HEX(ROUNDDOWN(S101/256,0),2)</f>
        <v>02</v>
      </c>
      <c r="W107" s="138"/>
    </row>
    <row r="108" spans="1:23" ht="13.5" outlineLevel="1" thickBot="1">
      <c r="A108" s="211"/>
      <c r="B108" s="272"/>
      <c r="C108" s="273"/>
      <c r="D108" s="273"/>
      <c r="E108" s="273"/>
      <c r="F108" s="274"/>
      <c r="G108" s="271"/>
      <c r="H108" s="4"/>
      <c r="I108" s="4"/>
      <c r="J108" s="4"/>
      <c r="K108" s="4"/>
      <c r="L108" s="4"/>
      <c r="M108" s="4"/>
      <c r="N108" s="4"/>
      <c r="O108" s="4"/>
      <c r="P108" s="5"/>
      <c r="R108" s="185"/>
      <c r="S108" s="19"/>
      <c r="U108" s="350"/>
      <c r="V108" s="70" t="str">
        <f>DEC2HEX((S101-V107*256),2)</f>
        <v>3A</v>
      </c>
      <c r="W108" s="138"/>
    </row>
    <row r="109" spans="1:23" ht="13.5" outlineLevel="1" thickBot="1">
      <c r="A109" s="211"/>
      <c r="B109" s="246" t="s">
        <v>104</v>
      </c>
      <c r="C109" s="281"/>
      <c r="D109" s="282"/>
      <c r="E109" s="281"/>
      <c r="F109" s="282" t="s">
        <v>103</v>
      </c>
      <c r="G109" s="284" t="s">
        <v>85</v>
      </c>
      <c r="H109" s="4"/>
      <c r="I109" s="4"/>
      <c r="J109" s="4"/>
      <c r="K109" s="4"/>
      <c r="L109" s="4"/>
      <c r="M109" s="4"/>
      <c r="N109" s="4"/>
      <c r="O109" s="4"/>
      <c r="P109" s="5"/>
      <c r="R109" s="185"/>
      <c r="S109" s="19"/>
      <c r="U109" s="94"/>
      <c r="V109" s="94"/>
      <c r="W109" s="138"/>
    </row>
    <row r="110" spans="1:23" ht="13.5" outlineLevel="1" thickBot="1">
      <c r="A110" s="144"/>
      <c r="B110" s="247" t="s">
        <v>105</v>
      </c>
      <c r="C110" s="283"/>
      <c r="D110" s="268"/>
      <c r="E110" s="283"/>
      <c r="F110" s="270"/>
      <c r="G110" s="289">
        <f>TRUNC(S110/10-64,2)</f>
        <v>0</v>
      </c>
      <c r="R110" s="146"/>
      <c r="S110" s="146">
        <v>640</v>
      </c>
      <c r="U110" s="68"/>
      <c r="V110" s="68" t="str">
        <f>DEC2HEX(ROUNDDOWN(S110/256,0),2)</f>
        <v>02</v>
      </c>
    </row>
    <row r="111" spans="1:23" ht="13.5" outlineLevel="1" thickBot="1">
      <c r="A111" s="144"/>
      <c r="B111" s="248"/>
      <c r="C111" s="283"/>
      <c r="D111" s="268"/>
      <c r="E111" s="283"/>
      <c r="F111" s="270"/>
      <c r="G111" s="290">
        <f>TRUNC(S111/10-64,2)</f>
        <v>0</v>
      </c>
      <c r="R111" s="147"/>
      <c r="S111" s="146">
        <v>640</v>
      </c>
      <c r="T111" t="s">
        <v>110</v>
      </c>
      <c r="U111" s="69"/>
      <c r="V111" s="69" t="str">
        <f>DEC2HEX(ROUNDDOWN((S110-V110*256),0),2)</f>
        <v>80</v>
      </c>
    </row>
    <row r="112" spans="1:23" ht="13.5" outlineLevel="1" thickBot="1">
      <c r="A112" s="90"/>
      <c r="B112" s="269"/>
      <c r="C112" s="283"/>
      <c r="D112" s="268"/>
      <c r="E112" s="283"/>
      <c r="F112" s="270"/>
      <c r="G112" s="290">
        <f t="shared" ref="G112:G116" si="9">TRUNC(S112/10-64,2)</f>
        <v>0</v>
      </c>
      <c r="R112" s="147"/>
      <c r="S112" s="146">
        <v>640</v>
      </c>
      <c r="U112" s="69"/>
      <c r="V112" s="69" t="str">
        <f>DEC2HEX(ROUNDDOWN(S111/256,0),2)</f>
        <v>02</v>
      </c>
    </row>
    <row r="113" spans="1:23" ht="13.5" outlineLevel="1" thickBot="1">
      <c r="A113" s="90"/>
      <c r="B113" s="269"/>
      <c r="C113" s="283"/>
      <c r="D113" s="268"/>
      <c r="E113" s="283"/>
      <c r="F113" s="270"/>
      <c r="G113" s="290">
        <f t="shared" si="9"/>
        <v>0</v>
      </c>
      <c r="R113" s="147"/>
      <c r="S113" s="146">
        <v>640</v>
      </c>
      <c r="U113" s="69"/>
      <c r="V113" s="69" t="str">
        <f>DEC2HEX((S111-V112*256),2)</f>
        <v>80</v>
      </c>
    </row>
    <row r="114" spans="1:23" ht="13.5" outlineLevel="1" thickBot="1">
      <c r="A114" s="90"/>
      <c r="B114" s="269"/>
      <c r="C114" s="283"/>
      <c r="D114" s="268"/>
      <c r="E114" s="270"/>
      <c r="F114" s="270"/>
      <c r="G114" s="290">
        <f t="shared" si="9"/>
        <v>0</v>
      </c>
      <c r="R114" s="147"/>
      <c r="S114" s="146">
        <v>640</v>
      </c>
      <c r="U114" s="69"/>
      <c r="V114" s="69" t="str">
        <f>DEC2HEX(ROUNDDOWN(S112/256,0),2)</f>
        <v>02</v>
      </c>
    </row>
    <row r="115" spans="1:23" ht="13.5" outlineLevel="1" thickBot="1">
      <c r="A115" s="90"/>
      <c r="B115" s="269"/>
      <c r="C115" s="283"/>
      <c r="D115" s="268"/>
      <c r="E115" s="270"/>
      <c r="F115" s="270"/>
      <c r="G115" s="290">
        <f t="shared" si="9"/>
        <v>0</v>
      </c>
      <c r="R115" s="147"/>
      <c r="S115" s="146">
        <v>640</v>
      </c>
      <c r="U115" s="69"/>
      <c r="V115" s="69" t="str">
        <f>DEC2HEX((S112-V114*256),2)</f>
        <v>80</v>
      </c>
    </row>
    <row r="116" spans="1:23" outlineLevel="1">
      <c r="A116" s="90"/>
      <c r="B116" s="269"/>
      <c r="C116" s="270"/>
      <c r="D116" s="268"/>
      <c r="E116" s="270"/>
      <c r="F116" s="270"/>
      <c r="G116" s="290">
        <f t="shared" si="9"/>
        <v>0</v>
      </c>
      <c r="R116" s="147"/>
      <c r="S116" s="146">
        <v>640</v>
      </c>
      <c r="U116" s="69"/>
      <c r="V116" s="69" t="str">
        <f>DEC2HEX(ROUNDDOWN(S113/256,0),2)</f>
        <v>02</v>
      </c>
    </row>
    <row r="117" spans="1:23" outlineLevel="1">
      <c r="A117" s="90"/>
      <c r="B117" s="269"/>
      <c r="C117" s="270"/>
      <c r="D117" s="268"/>
      <c r="E117" s="270"/>
      <c r="F117" s="270"/>
      <c r="G117" s="323"/>
      <c r="R117" s="94"/>
      <c r="S117" s="94"/>
      <c r="U117" s="69"/>
      <c r="V117" s="69" t="str">
        <f>DEC2HEX((S113-V116*256),2)</f>
        <v>80</v>
      </c>
    </row>
    <row r="118" spans="1:23" outlineLevel="1">
      <c r="A118" s="90"/>
      <c r="B118" s="269"/>
      <c r="C118" s="270"/>
      <c r="D118" s="268"/>
      <c r="E118" s="270"/>
      <c r="F118" s="270"/>
      <c r="G118" s="323"/>
      <c r="R118" s="94"/>
      <c r="S118" s="94"/>
      <c r="U118" s="69"/>
      <c r="V118" s="69" t="str">
        <f>DEC2HEX(ROUNDDOWN(S114/256,0),2)</f>
        <v>02</v>
      </c>
    </row>
    <row r="119" spans="1:23" outlineLevel="1">
      <c r="A119" s="90"/>
      <c r="B119" s="269"/>
      <c r="C119" s="270"/>
      <c r="D119" s="270"/>
      <c r="E119" s="270"/>
      <c r="F119" s="270"/>
      <c r="G119" s="271"/>
      <c r="R119" s="15"/>
      <c r="S119" s="15"/>
      <c r="U119" s="69"/>
      <c r="V119" s="69" t="str">
        <f>DEC2HEX((S114-V118*256),2)</f>
        <v>80</v>
      </c>
    </row>
    <row r="120" spans="1:23" outlineLevel="1">
      <c r="A120" s="211"/>
      <c r="B120" s="272"/>
      <c r="C120" s="273"/>
      <c r="D120" s="273"/>
      <c r="E120" s="273"/>
      <c r="F120" s="274"/>
      <c r="G120" s="271"/>
      <c r="H120" s="4"/>
      <c r="I120" s="4"/>
      <c r="J120" s="4"/>
      <c r="K120" s="4"/>
      <c r="L120" s="4"/>
      <c r="M120" s="4"/>
      <c r="N120" s="4"/>
      <c r="O120" s="4"/>
      <c r="P120" s="5"/>
      <c r="R120" s="185"/>
      <c r="S120" s="19"/>
      <c r="U120" s="69"/>
      <c r="V120" s="69" t="str">
        <f>DEC2HEX(ROUNDDOWN(S115/256,0),2)</f>
        <v>02</v>
      </c>
      <c r="W120" s="138"/>
    </row>
    <row r="121" spans="1:23" ht="13.5" outlineLevel="1" thickBot="1">
      <c r="A121" s="211"/>
      <c r="B121" s="272"/>
      <c r="C121" s="273"/>
      <c r="D121" s="273"/>
      <c r="E121" s="273"/>
      <c r="F121" s="274"/>
      <c r="G121" s="271"/>
      <c r="H121" s="4"/>
      <c r="I121" s="4"/>
      <c r="J121" s="4"/>
      <c r="K121" s="4"/>
      <c r="L121" s="4"/>
      <c r="M121" s="4"/>
      <c r="N121" s="4"/>
      <c r="O121" s="4"/>
      <c r="P121" s="5"/>
      <c r="R121" s="185"/>
      <c r="S121" s="19"/>
      <c r="U121" s="70"/>
      <c r="V121" s="70" t="str">
        <f>DEC2HEX((S115-V120*256),2)</f>
        <v>80</v>
      </c>
      <c r="W121" s="138"/>
    </row>
    <row r="122" spans="1:23" outlineLevel="1">
      <c r="A122" s="211"/>
      <c r="B122" s="272"/>
      <c r="C122" s="273"/>
      <c r="D122" s="273"/>
      <c r="E122" s="273"/>
      <c r="F122" s="274"/>
      <c r="G122" s="271"/>
      <c r="H122" s="4"/>
      <c r="I122" s="4"/>
      <c r="J122" s="4"/>
      <c r="K122" s="4"/>
      <c r="L122" s="4"/>
      <c r="M122" s="4"/>
      <c r="N122" s="4"/>
      <c r="O122" s="4"/>
      <c r="P122" s="5"/>
      <c r="R122" s="185"/>
      <c r="S122" s="19"/>
      <c r="U122" s="349"/>
      <c r="V122" s="69" t="str">
        <f>DEC2HEX(ROUNDDOWN(S116/256,0),2)</f>
        <v>02</v>
      </c>
      <c r="W122" s="138"/>
    </row>
    <row r="123" spans="1:23" ht="13.5" outlineLevel="1" thickBot="1">
      <c r="A123" s="211"/>
      <c r="B123" s="272"/>
      <c r="C123" s="273"/>
      <c r="D123" s="273"/>
      <c r="E123" s="273"/>
      <c r="F123" s="274"/>
      <c r="G123" s="271"/>
      <c r="H123" s="4"/>
      <c r="I123" s="4"/>
      <c r="J123" s="4"/>
      <c r="K123" s="4"/>
      <c r="L123" s="4"/>
      <c r="M123" s="4"/>
      <c r="N123" s="4"/>
      <c r="O123" s="4"/>
      <c r="P123" s="5"/>
      <c r="R123" s="185"/>
      <c r="S123" s="19"/>
      <c r="U123" s="350"/>
      <c r="V123" s="70" t="str">
        <f>DEC2HEX((S116-V122*256),2)</f>
        <v>80</v>
      </c>
      <c r="W123" s="138"/>
    </row>
    <row r="124" spans="1:23" ht="13.5" outlineLevel="1" thickBot="1">
      <c r="A124" s="211"/>
      <c r="B124" s="246" t="s">
        <v>104</v>
      </c>
      <c r="C124" s="281"/>
      <c r="D124" s="282"/>
      <c r="E124" s="281"/>
      <c r="F124" s="282" t="s">
        <v>103</v>
      </c>
      <c r="G124" s="284" t="s">
        <v>85</v>
      </c>
      <c r="H124" s="4"/>
      <c r="I124" s="4"/>
      <c r="J124" s="4"/>
      <c r="K124" s="4"/>
      <c r="L124" s="4"/>
      <c r="M124" s="4"/>
      <c r="N124" s="4"/>
      <c r="O124" s="4"/>
      <c r="P124" s="5"/>
      <c r="R124" s="185"/>
      <c r="S124" s="19"/>
      <c r="U124" s="94"/>
      <c r="V124" s="94"/>
      <c r="W124" s="138"/>
    </row>
    <row r="125" spans="1:23" outlineLevel="1">
      <c r="A125" s="144"/>
      <c r="B125" s="247" t="s">
        <v>105</v>
      </c>
      <c r="C125" s="283"/>
      <c r="D125" s="268"/>
      <c r="E125" s="283"/>
      <c r="F125" s="270"/>
      <c r="G125" s="289">
        <f>TRUNC(S125/10-64,2)</f>
        <v>1</v>
      </c>
      <c r="R125" s="146"/>
      <c r="S125" s="146">
        <v>650</v>
      </c>
      <c r="U125" s="68"/>
      <c r="V125" s="68" t="str">
        <f>DEC2HEX(ROUNDDOWN(S125/256,0),2)</f>
        <v>02</v>
      </c>
    </row>
    <row r="126" spans="1:23" ht="13.5" outlineLevel="1" thickBot="1">
      <c r="A126" s="144"/>
      <c r="B126" s="248"/>
      <c r="C126" s="283"/>
      <c r="D126" s="268"/>
      <c r="E126" s="283"/>
      <c r="F126" s="270"/>
      <c r="G126" s="290">
        <f>TRUNC(S126/10-64,2)</f>
        <v>1</v>
      </c>
      <c r="R126" s="147"/>
      <c r="S126" s="147">
        <v>650</v>
      </c>
      <c r="T126" t="s">
        <v>110</v>
      </c>
      <c r="U126" s="69"/>
      <c r="V126" s="69" t="str">
        <f>DEC2HEX(ROUNDDOWN((S125-V125*256),0),2)</f>
        <v>8A</v>
      </c>
    </row>
    <row r="127" spans="1:23" outlineLevel="1">
      <c r="A127" s="90"/>
      <c r="B127" s="269"/>
      <c r="C127" s="283"/>
      <c r="D127" s="268"/>
      <c r="E127" s="283"/>
      <c r="F127" s="270"/>
      <c r="G127" s="290">
        <f t="shared" ref="G127:G131" si="10">TRUNC(S127/10-64,2)</f>
        <v>1</v>
      </c>
      <c r="R127" s="147"/>
      <c r="S127" s="147">
        <v>650</v>
      </c>
      <c r="U127" s="69"/>
      <c r="V127" s="69" t="str">
        <f>DEC2HEX(ROUNDDOWN(S126/256,0),2)</f>
        <v>02</v>
      </c>
    </row>
    <row r="128" spans="1:23" outlineLevel="1">
      <c r="A128" s="90"/>
      <c r="B128" s="269"/>
      <c r="C128" s="283"/>
      <c r="D128" s="268"/>
      <c r="E128" s="283"/>
      <c r="F128" s="270"/>
      <c r="G128" s="290">
        <f t="shared" si="10"/>
        <v>1</v>
      </c>
      <c r="R128" s="147"/>
      <c r="S128" s="147">
        <v>650</v>
      </c>
      <c r="U128" s="69"/>
      <c r="V128" s="69" t="str">
        <f>DEC2HEX((S126-V127*256),2)</f>
        <v>8A</v>
      </c>
    </row>
    <row r="129" spans="1:23" outlineLevel="1">
      <c r="A129" s="90"/>
      <c r="B129" s="269"/>
      <c r="C129" s="283"/>
      <c r="D129" s="268"/>
      <c r="E129" s="270"/>
      <c r="F129" s="270"/>
      <c r="G129" s="290">
        <f t="shared" si="10"/>
        <v>1</v>
      </c>
      <c r="R129" s="147"/>
      <c r="S129" s="147">
        <v>650</v>
      </c>
      <c r="U129" s="69"/>
      <c r="V129" s="69" t="str">
        <f>DEC2HEX(ROUNDDOWN(S127/256,0),2)</f>
        <v>02</v>
      </c>
    </row>
    <row r="130" spans="1:23" outlineLevel="1">
      <c r="A130" s="90"/>
      <c r="B130" s="269"/>
      <c r="C130" s="283"/>
      <c r="D130" s="268"/>
      <c r="E130" s="270"/>
      <c r="F130" s="270"/>
      <c r="G130" s="290">
        <f t="shared" si="10"/>
        <v>1</v>
      </c>
      <c r="R130" s="147"/>
      <c r="S130" s="147">
        <v>650</v>
      </c>
      <c r="U130" s="69"/>
      <c r="V130" s="69" t="str">
        <f>DEC2HEX((S127-V129*256),2)</f>
        <v>8A</v>
      </c>
    </row>
    <row r="131" spans="1:23" outlineLevel="1">
      <c r="A131" s="90"/>
      <c r="B131" s="269"/>
      <c r="C131" s="270"/>
      <c r="D131" s="268"/>
      <c r="E131" s="270"/>
      <c r="F131" s="270"/>
      <c r="G131" s="290">
        <f t="shared" si="10"/>
        <v>1</v>
      </c>
      <c r="R131" s="147"/>
      <c r="S131" s="147">
        <v>650</v>
      </c>
      <c r="U131" s="69"/>
      <c r="V131" s="69" t="str">
        <f>DEC2HEX(ROUNDDOWN(S128/256,0),2)</f>
        <v>02</v>
      </c>
    </row>
    <row r="132" spans="1:23" outlineLevel="1">
      <c r="A132" s="90"/>
      <c r="B132" s="269"/>
      <c r="C132" s="270"/>
      <c r="D132" s="268"/>
      <c r="E132" s="270"/>
      <c r="F132" s="270"/>
      <c r="G132" s="323"/>
      <c r="R132" s="94"/>
      <c r="S132" s="94"/>
      <c r="U132" s="69"/>
      <c r="V132" s="69" t="str">
        <f>DEC2HEX((S128-V131*256),2)</f>
        <v>8A</v>
      </c>
    </row>
    <row r="133" spans="1:23" outlineLevel="1">
      <c r="A133" s="90"/>
      <c r="B133" s="269"/>
      <c r="C133" s="270"/>
      <c r="D133" s="268"/>
      <c r="E133" s="270"/>
      <c r="F133" s="270"/>
      <c r="G133" s="323"/>
      <c r="R133" s="94"/>
      <c r="S133" s="94"/>
      <c r="U133" s="69"/>
      <c r="V133" s="69" t="str">
        <f>DEC2HEX(ROUNDDOWN(S129/256,0),2)</f>
        <v>02</v>
      </c>
    </row>
    <row r="134" spans="1:23" outlineLevel="1">
      <c r="A134" s="90"/>
      <c r="B134" s="269"/>
      <c r="C134" s="270"/>
      <c r="D134" s="270"/>
      <c r="E134" s="270"/>
      <c r="F134" s="270"/>
      <c r="G134" s="271"/>
      <c r="R134" s="15"/>
      <c r="S134" s="15"/>
      <c r="U134" s="69"/>
      <c r="V134" s="69" t="str">
        <f>DEC2HEX((S129-V133*256),2)</f>
        <v>8A</v>
      </c>
    </row>
    <row r="135" spans="1:23" outlineLevel="1">
      <c r="A135" s="211"/>
      <c r="B135" s="272"/>
      <c r="C135" s="273"/>
      <c r="D135" s="273"/>
      <c r="E135" s="273"/>
      <c r="F135" s="274"/>
      <c r="G135" s="271"/>
      <c r="H135" s="4"/>
      <c r="I135" s="4"/>
      <c r="J135" s="4"/>
      <c r="K135" s="4"/>
      <c r="L135" s="4"/>
      <c r="M135" s="4"/>
      <c r="N135" s="4"/>
      <c r="O135" s="4"/>
      <c r="P135" s="5"/>
      <c r="R135" s="185"/>
      <c r="S135" s="19"/>
      <c r="U135" s="69"/>
      <c r="V135" s="69" t="str">
        <f>DEC2HEX(ROUNDDOWN(S130/256,0),2)</f>
        <v>02</v>
      </c>
      <c r="W135" s="138"/>
    </row>
    <row r="136" spans="1:23" ht="13.5" outlineLevel="1" thickBot="1">
      <c r="A136" s="211"/>
      <c r="B136" s="272"/>
      <c r="C136" s="273"/>
      <c r="D136" s="273"/>
      <c r="E136" s="273"/>
      <c r="F136" s="274"/>
      <c r="G136" s="271"/>
      <c r="H136" s="4"/>
      <c r="I136" s="4"/>
      <c r="J136" s="4"/>
      <c r="K136" s="4"/>
      <c r="L136" s="4"/>
      <c r="M136" s="4"/>
      <c r="N136" s="4"/>
      <c r="O136" s="4"/>
      <c r="P136" s="5"/>
      <c r="R136" s="185"/>
      <c r="S136" s="19"/>
      <c r="U136" s="70"/>
      <c r="V136" s="70" t="str">
        <f>DEC2HEX((S130-V135*256),2)</f>
        <v>8A</v>
      </c>
      <c r="W136" s="138"/>
    </row>
    <row r="137" spans="1:23" outlineLevel="1">
      <c r="A137" s="211"/>
      <c r="B137" s="272"/>
      <c r="C137" s="273"/>
      <c r="D137" s="273"/>
      <c r="E137" s="273"/>
      <c r="F137" s="274"/>
      <c r="G137" s="271"/>
      <c r="H137" s="4"/>
      <c r="I137" s="4"/>
      <c r="J137" s="4"/>
      <c r="K137" s="4"/>
      <c r="L137" s="4"/>
      <c r="M137" s="4"/>
      <c r="N137" s="4"/>
      <c r="O137" s="4"/>
      <c r="P137" s="5"/>
      <c r="R137" s="185"/>
      <c r="S137" s="19"/>
      <c r="U137" s="349"/>
      <c r="V137" s="69" t="str">
        <f>DEC2HEX(ROUNDDOWN(S131/256,0),2)</f>
        <v>02</v>
      </c>
      <c r="W137" s="138"/>
    </row>
    <row r="138" spans="1:23" ht="13.5" outlineLevel="1" thickBot="1">
      <c r="A138" s="211"/>
      <c r="B138" s="272"/>
      <c r="C138" s="273"/>
      <c r="D138" s="273"/>
      <c r="E138" s="273"/>
      <c r="F138" s="274"/>
      <c r="G138" s="271"/>
      <c r="H138" s="4"/>
      <c r="I138" s="4"/>
      <c r="J138" s="4"/>
      <c r="K138" s="4"/>
      <c r="L138" s="4"/>
      <c r="M138" s="4"/>
      <c r="N138" s="4"/>
      <c r="O138" s="4"/>
      <c r="P138" s="5"/>
      <c r="R138" s="185"/>
      <c r="S138" s="19"/>
      <c r="U138" s="350"/>
      <c r="V138" s="70" t="str">
        <f>DEC2HEX((S131-V137*256),2)</f>
        <v>8A</v>
      </c>
      <c r="W138" s="138"/>
    </row>
    <row r="139" spans="1:23" ht="13.5" outlineLevel="1" thickBot="1">
      <c r="A139" s="211"/>
      <c r="B139" s="275"/>
      <c r="C139" s="276"/>
      <c r="D139" s="276"/>
      <c r="E139" s="276"/>
      <c r="F139" s="277"/>
      <c r="G139" s="278"/>
      <c r="H139" s="4"/>
      <c r="I139" s="4"/>
      <c r="J139" s="4"/>
      <c r="K139" s="4"/>
      <c r="L139" s="4"/>
      <c r="M139" s="4"/>
      <c r="N139" s="4"/>
      <c r="O139" s="4"/>
      <c r="P139" s="5"/>
      <c r="R139" s="185"/>
      <c r="S139" s="19"/>
      <c r="U139" s="94"/>
      <c r="V139" s="94"/>
      <c r="W139" s="138"/>
    </row>
    <row r="140" spans="1:23" ht="13.5" outlineLevel="1" thickBot="1">
      <c r="A140" s="210"/>
      <c r="B140" s="246" t="s">
        <v>104</v>
      </c>
      <c r="C140" s="281" t="s">
        <v>106</v>
      </c>
      <c r="D140" s="154" t="s">
        <v>86</v>
      </c>
      <c r="E140" s="281"/>
      <c r="F140" s="282"/>
      <c r="G140" s="284"/>
      <c r="Q140" s="15"/>
      <c r="R140" s="184"/>
      <c r="S140" s="6"/>
      <c r="U140" s="6" t="s">
        <v>7</v>
      </c>
      <c r="V140" s="6" t="s">
        <v>8</v>
      </c>
    </row>
    <row r="141" spans="1:23" outlineLevel="1">
      <c r="A141" s="144"/>
      <c r="B141" s="247" t="s">
        <v>105</v>
      </c>
      <c r="C141" s="283"/>
      <c r="D141" s="110">
        <f>TRUNC(R141/10-40,2)</f>
        <v>-15</v>
      </c>
      <c r="E141" s="283"/>
      <c r="F141" s="270"/>
      <c r="G141" s="266"/>
      <c r="R141" s="146">
        <v>250</v>
      </c>
      <c r="S141" s="146"/>
      <c r="T141" t="s">
        <v>111</v>
      </c>
      <c r="U141" s="348" t="str">
        <f>DEC2HEX(ROUNDDOWN(R141/256,0),2)</f>
        <v>00</v>
      </c>
      <c r="V141" s="68"/>
    </row>
    <row r="142" spans="1:23" ht="13.5" outlineLevel="1" thickBot="1">
      <c r="A142" s="144"/>
      <c r="B142" s="248"/>
      <c r="C142" s="283"/>
      <c r="D142" s="262">
        <f>TRUNC(R142/10-40,2)</f>
        <v>5</v>
      </c>
      <c r="E142" s="283"/>
      <c r="F142" s="270"/>
      <c r="G142" s="266"/>
      <c r="R142" s="147">
        <v>450</v>
      </c>
      <c r="S142" s="147"/>
      <c r="U142" s="349" t="str">
        <f>DEC2HEX(ROUNDDOWN((R141-U141*256),0),2)</f>
        <v>FA</v>
      </c>
      <c r="V142" s="69"/>
    </row>
    <row r="143" spans="1:23" outlineLevel="1">
      <c r="A143" s="90"/>
      <c r="B143" s="319"/>
      <c r="C143" s="283"/>
      <c r="D143" s="262">
        <f>TRUNC(R143/10-40,2)</f>
        <v>25</v>
      </c>
      <c r="E143" s="283"/>
      <c r="F143" s="270"/>
      <c r="G143" s="266"/>
      <c r="R143" s="147">
        <v>650</v>
      </c>
      <c r="S143" s="147"/>
      <c r="U143" s="349" t="str">
        <f>DEC2HEX(ROUNDDOWN(R142/256,0),2)</f>
        <v>01</v>
      </c>
      <c r="V143" s="69"/>
    </row>
    <row r="144" spans="1:23" ht="13.5" outlineLevel="1" thickBot="1">
      <c r="A144" s="90"/>
      <c r="B144" s="269"/>
      <c r="C144" s="283"/>
      <c r="D144" s="263">
        <f>TRUNC(R144/10-40,2)</f>
        <v>40</v>
      </c>
      <c r="E144" s="283"/>
      <c r="F144" s="270"/>
      <c r="G144" s="266"/>
      <c r="R144" s="148">
        <v>800</v>
      </c>
      <c r="S144" s="148"/>
      <c r="U144" s="349" t="str">
        <f>DEC2HEX((R142-U143*256),2)</f>
        <v>C2</v>
      </c>
      <c r="V144" s="69"/>
    </row>
    <row r="145" spans="1:23" outlineLevel="1">
      <c r="A145" s="90"/>
      <c r="B145" s="269"/>
      <c r="C145" s="283"/>
      <c r="D145" s="268"/>
      <c r="E145" s="270"/>
      <c r="F145" s="270"/>
      <c r="G145" s="266"/>
      <c r="R145" s="94"/>
      <c r="S145" s="94"/>
      <c r="U145" s="349" t="str">
        <f>DEC2HEX(ROUNDDOWN(R143/256,0),2)</f>
        <v>02</v>
      </c>
      <c r="V145" s="69"/>
    </row>
    <row r="146" spans="1:23" outlineLevel="1">
      <c r="A146" s="90"/>
      <c r="B146" s="269"/>
      <c r="C146" s="283"/>
      <c r="D146" s="268"/>
      <c r="E146" s="270"/>
      <c r="F146" s="270"/>
      <c r="G146" s="266"/>
      <c r="R146" s="94"/>
      <c r="S146" s="94"/>
      <c r="U146" s="349" t="str">
        <f>DEC2HEX((R143-U145*256),2)</f>
        <v>8A</v>
      </c>
      <c r="V146" s="69"/>
    </row>
    <row r="147" spans="1:23" outlineLevel="1">
      <c r="A147" s="90"/>
      <c r="B147" s="269"/>
      <c r="C147" s="270"/>
      <c r="D147" s="268"/>
      <c r="E147" s="270"/>
      <c r="F147" s="270"/>
      <c r="G147" s="266"/>
      <c r="R147" s="94"/>
      <c r="S147" s="94"/>
      <c r="U147" s="349" t="str">
        <f>DEC2HEX(ROUNDDOWN(R144/256,0),2)</f>
        <v>03</v>
      </c>
      <c r="V147" s="69"/>
    </row>
    <row r="148" spans="1:23" ht="13.5" outlineLevel="1" thickBot="1">
      <c r="A148" s="90"/>
      <c r="B148" s="320"/>
      <c r="C148" s="318"/>
      <c r="D148" s="279"/>
      <c r="E148" s="318"/>
      <c r="F148" s="318"/>
      <c r="G148" s="280"/>
      <c r="R148" s="94"/>
      <c r="S148" s="94"/>
      <c r="U148" s="350" t="str">
        <f>DEC2HEX((R144-U147*256),2)</f>
        <v>20</v>
      </c>
      <c r="V148" s="351"/>
    </row>
    <row r="149" spans="1:23" ht="13.5" outlineLevel="1" thickBot="1">
      <c r="A149" s="211"/>
      <c r="B149" s="14"/>
      <c r="C149" s="18"/>
      <c r="D149" s="18"/>
      <c r="E149" s="18"/>
      <c r="F149" s="17"/>
      <c r="G149" s="51"/>
      <c r="H149" s="4"/>
      <c r="I149" s="4"/>
      <c r="J149" s="4"/>
      <c r="K149" s="4"/>
      <c r="L149" s="4"/>
      <c r="M149" s="4"/>
      <c r="N149" s="4"/>
      <c r="O149" s="4"/>
      <c r="P149" s="5"/>
      <c r="R149" s="185"/>
      <c r="S149" s="19"/>
      <c r="U149" s="13"/>
      <c r="V149" s="19"/>
      <c r="W149" s="138"/>
    </row>
    <row r="150" spans="1:23" ht="13.5" outlineLevel="1" thickBot="1">
      <c r="A150" s="210"/>
      <c r="B150" s="246" t="s">
        <v>149</v>
      </c>
      <c r="C150" s="281" t="s">
        <v>112</v>
      </c>
      <c r="D150" s="282" t="s">
        <v>153</v>
      </c>
      <c r="E150" s="281"/>
      <c r="F150" s="282" t="s">
        <v>152</v>
      </c>
      <c r="G150" s="284" t="s">
        <v>154</v>
      </c>
      <c r="Q150" s="15"/>
      <c r="R150" s="184"/>
      <c r="S150" s="6"/>
      <c r="U150" s="6" t="s">
        <v>7</v>
      </c>
      <c r="V150" s="6" t="s">
        <v>8</v>
      </c>
    </row>
    <row r="151" spans="1:23" outlineLevel="1">
      <c r="A151" s="144"/>
      <c r="B151" s="247" t="s">
        <v>150</v>
      </c>
      <c r="C151" s="75"/>
      <c r="D151" s="110">
        <f t="shared" ref="D151:D157" si="11">TRUNC(R151/10-40,2)</f>
        <v>-20</v>
      </c>
      <c r="E151" s="283"/>
      <c r="F151" s="270"/>
      <c r="G151" s="289">
        <f>TRUNC(S151/10,2)</f>
        <v>10</v>
      </c>
      <c r="R151" s="146">
        <v>200</v>
      </c>
      <c r="S151" s="146">
        <v>100</v>
      </c>
      <c r="T151" t="s">
        <v>164</v>
      </c>
      <c r="U151" s="68" t="str">
        <f>DEC2HEX(ROUNDDOWN(R151/256,0),2)</f>
        <v>00</v>
      </c>
      <c r="V151" s="68" t="str">
        <f>DEC2HEX(ROUNDDOWN(S151/256,0),2)</f>
        <v>00</v>
      </c>
    </row>
    <row r="152" spans="1:23" ht="13.5" outlineLevel="1" thickBot="1">
      <c r="A152" s="144"/>
      <c r="B152" s="248" t="s">
        <v>151</v>
      </c>
      <c r="C152" s="75"/>
      <c r="D152" s="262">
        <f t="shared" si="11"/>
        <v>-10</v>
      </c>
      <c r="E152" s="283"/>
      <c r="F152" s="270"/>
      <c r="G152" s="290">
        <f>TRUNC(S152/10,2)</f>
        <v>10</v>
      </c>
      <c r="R152" s="147">
        <v>300</v>
      </c>
      <c r="S152" s="147">
        <v>100</v>
      </c>
      <c r="T152" t="s">
        <v>158</v>
      </c>
      <c r="U152" s="69" t="str">
        <f>DEC2HEX(ROUNDDOWN((R151-U151*256),0),2)</f>
        <v>C8</v>
      </c>
      <c r="V152" s="69" t="str">
        <f>DEC2HEX(ROUNDDOWN((S151-V151*256),0),2)</f>
        <v>64</v>
      </c>
    </row>
    <row r="153" spans="1:23" outlineLevel="1">
      <c r="A153" s="90"/>
      <c r="B153" s="269"/>
      <c r="C153" s="283"/>
      <c r="D153" s="262">
        <f t="shared" si="11"/>
        <v>0</v>
      </c>
      <c r="E153" s="283"/>
      <c r="F153" s="270"/>
      <c r="G153" s="290">
        <f t="shared" ref="G153:G156" si="12">TRUNC(S153/10,2)</f>
        <v>10</v>
      </c>
      <c r="R153" s="147">
        <v>400</v>
      </c>
      <c r="S153" s="147">
        <v>100</v>
      </c>
      <c r="U153" s="69" t="str">
        <f>DEC2HEX(ROUNDDOWN(R152/256,0),2)</f>
        <v>01</v>
      </c>
      <c r="V153" s="69" t="str">
        <f>DEC2HEX(ROUNDDOWN(S152/256,0),2)</f>
        <v>00</v>
      </c>
    </row>
    <row r="154" spans="1:23" outlineLevel="1">
      <c r="A154" s="90"/>
      <c r="B154" s="269"/>
      <c r="C154" s="283"/>
      <c r="D154" s="262">
        <f t="shared" si="11"/>
        <v>10</v>
      </c>
      <c r="E154" s="283"/>
      <c r="F154" s="270"/>
      <c r="G154" s="290">
        <f t="shared" si="12"/>
        <v>10</v>
      </c>
      <c r="R154" s="147">
        <v>500</v>
      </c>
      <c r="S154" s="147">
        <v>100</v>
      </c>
      <c r="U154" s="69" t="str">
        <f>DEC2HEX((R152-U153*256),2)</f>
        <v>2C</v>
      </c>
      <c r="V154" s="69" t="str">
        <f>DEC2HEX((S152-V153*256),2)</f>
        <v>64</v>
      </c>
    </row>
    <row r="155" spans="1:23" outlineLevel="1">
      <c r="A155" s="90"/>
      <c r="B155" s="269"/>
      <c r="C155" s="283"/>
      <c r="D155" s="262">
        <f t="shared" si="11"/>
        <v>20</v>
      </c>
      <c r="E155" s="270"/>
      <c r="F155" s="270"/>
      <c r="G155" s="290">
        <f t="shared" si="12"/>
        <v>10</v>
      </c>
      <c r="R155" s="147">
        <v>600</v>
      </c>
      <c r="S155" s="147">
        <v>100</v>
      </c>
      <c r="U155" s="69" t="str">
        <f>DEC2HEX(ROUNDDOWN(R153/256,0),2)</f>
        <v>01</v>
      </c>
      <c r="V155" s="69" t="str">
        <f>DEC2HEX(ROUNDDOWN(S153/256,0),2)</f>
        <v>00</v>
      </c>
    </row>
    <row r="156" spans="1:23" outlineLevel="1">
      <c r="A156" s="90"/>
      <c r="B156" s="269"/>
      <c r="C156" s="283"/>
      <c r="D156" s="262">
        <f t="shared" si="11"/>
        <v>30</v>
      </c>
      <c r="E156" s="270"/>
      <c r="F156" s="270"/>
      <c r="G156" s="290">
        <f t="shared" si="12"/>
        <v>10</v>
      </c>
      <c r="R156" s="147">
        <v>700</v>
      </c>
      <c r="S156" s="147">
        <v>100</v>
      </c>
      <c r="U156" s="69" t="str">
        <f>DEC2HEX((R153-U155*256),2)</f>
        <v>90</v>
      </c>
      <c r="V156" s="69" t="str">
        <f>DEC2HEX((S153-V155*256),2)</f>
        <v>64</v>
      </c>
    </row>
    <row r="157" spans="1:23" ht="13.5" outlineLevel="1" thickBot="1">
      <c r="A157" s="90"/>
      <c r="B157" s="269"/>
      <c r="C157" s="270"/>
      <c r="D157" s="262">
        <f t="shared" si="11"/>
        <v>40</v>
      </c>
      <c r="E157" s="270"/>
      <c r="F157" s="270"/>
      <c r="G157" s="290">
        <f>TRUNC(S157/10,2)</f>
        <v>10</v>
      </c>
      <c r="R157" s="148">
        <v>800</v>
      </c>
      <c r="S157" s="147">
        <v>100</v>
      </c>
      <c r="U157" s="69" t="str">
        <f>DEC2HEX(ROUNDDOWN(R154/256,0),2)</f>
        <v>01</v>
      </c>
      <c r="V157" s="69" t="str">
        <f>DEC2HEX(ROUNDDOWN(S154/256,0),2)</f>
        <v>00</v>
      </c>
    </row>
    <row r="158" spans="1:23" outlineLevel="1">
      <c r="A158" s="90"/>
      <c r="B158" s="269"/>
      <c r="C158" s="270"/>
      <c r="D158" s="267"/>
      <c r="E158" s="270"/>
      <c r="F158" s="270"/>
      <c r="G158" s="322"/>
      <c r="R158" s="94"/>
      <c r="S158" s="94"/>
      <c r="U158" s="69" t="str">
        <f>DEC2HEX((R154-U157*256),2)</f>
        <v>F4</v>
      </c>
      <c r="V158" s="69" t="str">
        <f>DEC2HEX((S154-V157*256),2)</f>
        <v>64</v>
      </c>
    </row>
    <row r="159" spans="1:23" outlineLevel="1">
      <c r="A159" s="90"/>
      <c r="B159" s="269"/>
      <c r="C159" s="270"/>
      <c r="D159" s="268"/>
      <c r="E159" s="270"/>
      <c r="F159" s="270"/>
      <c r="G159" s="323"/>
      <c r="R159" s="94"/>
      <c r="S159" s="94"/>
      <c r="U159" s="69" t="str">
        <f>DEC2HEX(ROUNDDOWN(R155/256,0),2)</f>
        <v>02</v>
      </c>
      <c r="V159" s="69" t="str">
        <f>DEC2HEX(ROUNDDOWN(S155/256,0),2)</f>
        <v>00</v>
      </c>
    </row>
    <row r="160" spans="1:23" outlineLevel="1">
      <c r="A160" s="90"/>
      <c r="B160" s="269"/>
      <c r="C160" s="270"/>
      <c r="D160" s="270"/>
      <c r="E160" s="270"/>
      <c r="F160" s="270"/>
      <c r="G160" s="271"/>
      <c r="R160" s="15"/>
      <c r="S160" s="1"/>
      <c r="U160" s="69" t="str">
        <f>DEC2HEX((R155-U159*256),2)</f>
        <v>58</v>
      </c>
      <c r="V160" s="69" t="str">
        <f>DEC2HEX((S155-V159*256),2)</f>
        <v>64</v>
      </c>
    </row>
    <row r="161" spans="1:23" outlineLevel="1">
      <c r="A161" s="211"/>
      <c r="B161" s="272"/>
      <c r="C161" s="273"/>
      <c r="D161" s="273"/>
      <c r="E161" s="273"/>
      <c r="F161" s="274"/>
      <c r="G161" s="271"/>
      <c r="H161" s="4"/>
      <c r="I161" s="4"/>
      <c r="J161" s="4"/>
      <c r="K161" s="4"/>
      <c r="L161" s="4"/>
      <c r="M161" s="4"/>
      <c r="N161" s="4"/>
      <c r="O161" s="4"/>
      <c r="P161" s="5"/>
      <c r="R161" s="185"/>
      <c r="S161" s="19"/>
      <c r="U161" s="69" t="str">
        <f>DEC2HEX(ROUNDDOWN(R156/256,0),2)</f>
        <v>02</v>
      </c>
      <c r="V161" s="69" t="str">
        <f>DEC2HEX(ROUNDDOWN(S156/256,0),2)</f>
        <v>00</v>
      </c>
      <c r="W161" s="138"/>
    </row>
    <row r="162" spans="1:23" outlineLevel="1">
      <c r="A162" s="211"/>
      <c r="B162" s="272"/>
      <c r="C162" s="273"/>
      <c r="D162" s="273"/>
      <c r="E162" s="273"/>
      <c r="F162" s="274"/>
      <c r="G162" s="271"/>
      <c r="H162" s="4"/>
      <c r="I162" s="4"/>
      <c r="J162" s="4"/>
      <c r="K162" s="4"/>
      <c r="L162" s="4"/>
      <c r="M162" s="4"/>
      <c r="N162" s="4"/>
      <c r="O162" s="4"/>
      <c r="P162" s="5"/>
      <c r="R162" s="185"/>
      <c r="S162" s="19"/>
      <c r="U162" s="69" t="str">
        <f>DEC2HEX((R156-U161*256),2)</f>
        <v>BC</v>
      </c>
      <c r="V162" s="69" t="str">
        <f>DEC2HEX((S156-V161*256),2)</f>
        <v>64</v>
      </c>
      <c r="W162" s="138"/>
    </row>
    <row r="163" spans="1:23" outlineLevel="1">
      <c r="A163" s="211"/>
      <c r="B163" s="272"/>
      <c r="C163" s="273"/>
      <c r="D163" s="273"/>
      <c r="E163" s="273"/>
      <c r="F163" s="274"/>
      <c r="G163" s="271"/>
      <c r="H163" s="4"/>
      <c r="I163" s="4"/>
      <c r="J163" s="4"/>
      <c r="K163" s="4"/>
      <c r="L163" s="4"/>
      <c r="M163" s="4"/>
      <c r="N163" s="4"/>
      <c r="O163" s="4"/>
      <c r="P163" s="5"/>
      <c r="R163" s="185"/>
      <c r="S163" s="19"/>
      <c r="U163" s="69" t="str">
        <f>DEC2HEX(ROUNDDOWN(R157/256,0),2)</f>
        <v>03</v>
      </c>
      <c r="V163" s="69" t="str">
        <f>DEC2HEX(ROUNDDOWN(S157/256,0),2)</f>
        <v>00</v>
      </c>
      <c r="W163" s="138"/>
    </row>
    <row r="164" spans="1:23" outlineLevel="1">
      <c r="A164" s="211"/>
      <c r="B164" s="272"/>
      <c r="C164" s="273"/>
      <c r="D164" s="273"/>
      <c r="E164" s="273"/>
      <c r="F164" s="274"/>
      <c r="G164" s="271"/>
      <c r="H164" s="4"/>
      <c r="I164" s="4"/>
      <c r="J164" s="4"/>
      <c r="K164" s="4"/>
      <c r="L164" s="4"/>
      <c r="M164" s="4"/>
      <c r="N164" s="4"/>
      <c r="O164" s="4"/>
      <c r="P164" s="5"/>
      <c r="R164" s="185"/>
      <c r="S164" s="19"/>
      <c r="U164" s="69" t="str">
        <f>DEC2HEX((R157-U163*256),2)</f>
        <v>20</v>
      </c>
      <c r="V164" s="69" t="str">
        <f>DEC2HEX((S157-V163*256),2)</f>
        <v>64</v>
      </c>
      <c r="W164" s="138"/>
    </row>
    <row r="165" spans="1:23" outlineLevel="1">
      <c r="A165" s="211"/>
      <c r="B165" s="272"/>
      <c r="C165" s="273"/>
      <c r="D165" s="273"/>
      <c r="E165" s="273"/>
      <c r="F165" s="274"/>
      <c r="G165" s="271"/>
      <c r="H165" s="4"/>
      <c r="I165" s="4"/>
      <c r="J165" s="4"/>
      <c r="K165" s="4"/>
      <c r="L165" s="4"/>
      <c r="M165" s="4"/>
      <c r="N165" s="4"/>
      <c r="O165" s="4"/>
      <c r="P165" s="5"/>
      <c r="R165" s="185"/>
      <c r="S165" s="19"/>
      <c r="U165" s="69"/>
      <c r="V165" s="69"/>
      <c r="W165" s="138"/>
    </row>
    <row r="166" spans="1:23" outlineLevel="1">
      <c r="A166" s="211"/>
      <c r="B166" s="272"/>
      <c r="C166" s="273"/>
      <c r="D166" s="273"/>
      <c r="E166" s="273"/>
      <c r="F166" s="274"/>
      <c r="G166" s="271"/>
      <c r="H166" s="4"/>
      <c r="I166" s="4"/>
      <c r="J166" s="4"/>
      <c r="K166" s="4"/>
      <c r="L166" s="4"/>
      <c r="M166" s="4"/>
      <c r="N166" s="4"/>
      <c r="O166" s="4"/>
      <c r="P166" s="5"/>
      <c r="R166" s="185"/>
      <c r="S166" s="19"/>
      <c r="U166" s="69"/>
      <c r="V166" s="69"/>
      <c r="W166" s="138"/>
    </row>
    <row r="167" spans="1:23" outlineLevel="1">
      <c r="A167" s="211"/>
      <c r="B167" s="272"/>
      <c r="C167" s="273"/>
      <c r="D167" s="273"/>
      <c r="E167" s="273"/>
      <c r="F167" s="274"/>
      <c r="G167" s="271"/>
      <c r="H167" s="4"/>
      <c r="I167" s="4"/>
      <c r="J167" s="4"/>
      <c r="K167" s="4"/>
      <c r="L167" s="4"/>
      <c r="M167" s="4"/>
      <c r="N167" s="4"/>
      <c r="O167" s="4"/>
      <c r="P167" s="5"/>
      <c r="R167" s="185"/>
      <c r="S167" s="19"/>
      <c r="U167" s="69"/>
      <c r="V167" s="69"/>
      <c r="W167" s="138"/>
    </row>
    <row r="168" spans="1:23" ht="13.5" outlineLevel="1" thickBot="1">
      <c r="A168" s="211"/>
      <c r="B168" s="275"/>
      <c r="C168" s="276"/>
      <c r="D168" s="276"/>
      <c r="E168" s="276"/>
      <c r="F168" s="277"/>
      <c r="G168" s="278"/>
      <c r="H168" s="4"/>
      <c r="I168" s="4"/>
      <c r="J168" s="4"/>
      <c r="K168" s="4"/>
      <c r="L168" s="4"/>
      <c r="M168" s="4"/>
      <c r="N168" s="4"/>
      <c r="O168" s="4"/>
      <c r="P168" s="5"/>
      <c r="R168" s="185"/>
      <c r="S168" s="19"/>
      <c r="U168" s="70"/>
      <c r="V168" s="70"/>
      <c r="W168" s="138"/>
    </row>
    <row r="169" spans="1:23" s="16" customFormat="1" ht="13.5" outlineLevel="1" thickBot="1">
      <c r="A169" s="211"/>
      <c r="B169" s="211"/>
      <c r="C169" s="18"/>
      <c r="D169" s="18"/>
      <c r="E169" s="18"/>
      <c r="F169" s="17"/>
      <c r="G169" s="90"/>
      <c r="H169" s="4"/>
      <c r="I169" s="4"/>
      <c r="J169" s="4"/>
      <c r="K169" s="4"/>
      <c r="L169" s="4"/>
      <c r="M169" s="4"/>
      <c r="N169" s="4"/>
      <c r="O169" s="4"/>
      <c r="P169" s="4"/>
      <c r="R169" s="185"/>
      <c r="S169" s="19"/>
      <c r="U169" s="94"/>
      <c r="V169" s="94"/>
      <c r="W169" s="352"/>
    </row>
    <row r="170" spans="1:23" ht="13.5" outlineLevel="1" thickBot="1">
      <c r="A170" s="210"/>
      <c r="B170" s="246" t="s">
        <v>149</v>
      </c>
      <c r="C170" s="281" t="s">
        <v>96</v>
      </c>
      <c r="D170" s="282" t="s">
        <v>85</v>
      </c>
      <c r="E170" s="281"/>
      <c r="F170" s="282" t="s">
        <v>156</v>
      </c>
      <c r="G170" s="284" t="s">
        <v>155</v>
      </c>
      <c r="Q170" s="15"/>
      <c r="R170" s="184"/>
      <c r="S170" s="6"/>
      <c r="U170" s="6" t="s">
        <v>7</v>
      </c>
      <c r="V170" s="6" t="s">
        <v>8</v>
      </c>
    </row>
    <row r="171" spans="1:23" outlineLevel="1">
      <c r="A171" s="144"/>
      <c r="B171" s="247" t="s">
        <v>150</v>
      </c>
      <c r="C171" s="75"/>
      <c r="D171" s="110">
        <f t="shared" ref="D171:D177" si="13">TRUNC(R171/10-40,2)</f>
        <v>-20</v>
      </c>
      <c r="E171" s="283"/>
      <c r="F171" s="270"/>
      <c r="G171" s="289">
        <f>TRUNC(S171/1000*100,2)</f>
        <v>25.6</v>
      </c>
      <c r="R171" s="146">
        <v>200</v>
      </c>
      <c r="S171" s="146">
        <v>256</v>
      </c>
      <c r="T171" t="s">
        <v>165</v>
      </c>
      <c r="U171" s="68" t="str">
        <f>DEC2HEX(ROUNDDOWN(R171/256,0),2)</f>
        <v>00</v>
      </c>
      <c r="V171" s="68" t="str">
        <f>DEC2HEX(ROUNDDOWN(S171/256,0),2)</f>
        <v>01</v>
      </c>
    </row>
    <row r="172" spans="1:23" ht="13.5" outlineLevel="1" thickBot="1">
      <c r="A172" s="144"/>
      <c r="B172" s="248" t="s">
        <v>157</v>
      </c>
      <c r="C172" s="75"/>
      <c r="D172" s="262">
        <f t="shared" si="13"/>
        <v>-10</v>
      </c>
      <c r="E172" s="283"/>
      <c r="F172" s="270"/>
      <c r="G172" s="290">
        <f>TRUNC(S172/10,2)</f>
        <v>43.4</v>
      </c>
      <c r="R172" s="147">
        <v>300</v>
      </c>
      <c r="S172" s="147">
        <v>434</v>
      </c>
      <c r="T172" t="s">
        <v>163</v>
      </c>
      <c r="U172" s="69" t="str">
        <f>DEC2HEX(ROUNDDOWN((R171-U171*256),0),2)</f>
        <v>C8</v>
      </c>
      <c r="V172" s="69" t="str">
        <f>DEC2HEX(ROUNDDOWN((S171-V171*256),0),2)</f>
        <v>00</v>
      </c>
    </row>
    <row r="173" spans="1:23" outlineLevel="1">
      <c r="A173" s="90"/>
      <c r="B173" s="269"/>
      <c r="C173" s="283"/>
      <c r="D173" s="262">
        <f t="shared" si="13"/>
        <v>0</v>
      </c>
      <c r="E173" s="283"/>
      <c r="F173" s="270"/>
      <c r="G173" s="290">
        <f t="shared" ref="G173:G176" si="14">TRUNC(S173/10,2)</f>
        <v>58.8</v>
      </c>
      <c r="R173" s="147">
        <v>400</v>
      </c>
      <c r="S173" s="147">
        <v>588</v>
      </c>
      <c r="U173" s="69" t="str">
        <f>DEC2HEX(ROUNDDOWN(R172/256,0),2)</f>
        <v>01</v>
      </c>
      <c r="V173" s="69" t="str">
        <f>DEC2HEX(ROUNDDOWN(S172/256,0),2)</f>
        <v>01</v>
      </c>
    </row>
    <row r="174" spans="1:23" outlineLevel="1">
      <c r="A174" s="90"/>
      <c r="B174" s="269"/>
      <c r="C174" s="283"/>
      <c r="D174" s="262">
        <f t="shared" si="13"/>
        <v>10</v>
      </c>
      <c r="E174" s="283"/>
      <c r="F174" s="270"/>
      <c r="G174" s="290">
        <f t="shared" si="14"/>
        <v>80.8</v>
      </c>
      <c r="R174" s="147">
        <v>500</v>
      </c>
      <c r="S174" s="147">
        <v>808</v>
      </c>
      <c r="U174" s="69" t="str">
        <f>DEC2HEX((R172-U173*256),2)</f>
        <v>2C</v>
      </c>
      <c r="V174" s="69" t="str">
        <f>DEC2HEX((S172-V173*256),2)</f>
        <v>B2</v>
      </c>
    </row>
    <row r="175" spans="1:23" ht="13.5" outlineLevel="1" thickBot="1">
      <c r="A175" s="90"/>
      <c r="B175" s="269"/>
      <c r="C175" s="283"/>
      <c r="D175" s="262">
        <f t="shared" si="13"/>
        <v>20</v>
      </c>
      <c r="E175" s="270"/>
      <c r="F175" s="270"/>
      <c r="G175" s="290">
        <f t="shared" si="14"/>
        <v>68.5</v>
      </c>
      <c r="R175" s="147">
        <v>600</v>
      </c>
      <c r="S175" s="148">
        <v>685</v>
      </c>
      <c r="U175" s="69" t="str">
        <f>DEC2HEX(ROUNDDOWN(R173/256,0),2)</f>
        <v>01</v>
      </c>
      <c r="V175" s="69" t="str">
        <f>DEC2HEX(ROUNDDOWN(S173/256,0),2)</f>
        <v>02</v>
      </c>
    </row>
    <row r="176" spans="1:23" ht="13.5" outlineLevel="1" thickBot="1">
      <c r="A176" s="90"/>
      <c r="B176" s="269"/>
      <c r="C176" s="283"/>
      <c r="D176" s="262">
        <f t="shared" si="13"/>
        <v>30</v>
      </c>
      <c r="E176" s="270"/>
      <c r="F176" s="270"/>
      <c r="G176" s="290">
        <f t="shared" si="14"/>
        <v>55.3</v>
      </c>
      <c r="R176" s="147">
        <v>700</v>
      </c>
      <c r="S176" s="148">
        <v>553</v>
      </c>
      <c r="U176" s="69" t="str">
        <f>DEC2HEX((R173-U175*256),2)</f>
        <v>90</v>
      </c>
      <c r="V176" s="69" t="str">
        <f>DEC2HEX((S173-V175*256),2)</f>
        <v>4C</v>
      </c>
    </row>
    <row r="177" spans="1:23" ht="13.5" outlineLevel="1" thickBot="1">
      <c r="A177" s="90"/>
      <c r="B177" s="269"/>
      <c r="C177" s="270"/>
      <c r="D177" s="262">
        <f t="shared" si="13"/>
        <v>40</v>
      </c>
      <c r="E177" s="270"/>
      <c r="F177" s="270"/>
      <c r="G177" s="290">
        <f>TRUNC(S177/10,2)</f>
        <v>33.9</v>
      </c>
      <c r="R177" s="148">
        <v>800</v>
      </c>
      <c r="S177" s="148">
        <v>339</v>
      </c>
      <c r="U177" s="69" t="str">
        <f>DEC2HEX(ROUNDDOWN(R174/256,0),2)</f>
        <v>01</v>
      </c>
      <c r="V177" s="69" t="str">
        <f>DEC2HEX(ROUNDDOWN(S174/256,0),2)</f>
        <v>03</v>
      </c>
    </row>
    <row r="178" spans="1:23" outlineLevel="1">
      <c r="A178" s="90"/>
      <c r="B178" s="269"/>
      <c r="C178" s="270"/>
      <c r="D178" s="267"/>
      <c r="E178" s="270"/>
      <c r="F178" s="270"/>
      <c r="G178" s="322"/>
      <c r="R178" s="94"/>
      <c r="S178" s="94"/>
      <c r="U178" s="69" t="str">
        <f>DEC2HEX((R174-U177*256),2)</f>
        <v>F4</v>
      </c>
      <c r="V178" s="69" t="str">
        <f>DEC2HEX((S174-V177*256),2)</f>
        <v>28</v>
      </c>
    </row>
    <row r="179" spans="1:23" outlineLevel="1">
      <c r="A179" s="90"/>
      <c r="B179" s="269"/>
      <c r="C179" s="270"/>
      <c r="D179" s="268"/>
      <c r="E179" s="270"/>
      <c r="F179" s="270"/>
      <c r="G179" s="323"/>
      <c r="R179" s="94"/>
      <c r="S179" s="94"/>
      <c r="U179" s="69" t="str">
        <f>DEC2HEX(ROUNDDOWN(R175/256,0),2)</f>
        <v>02</v>
      </c>
      <c r="V179" s="69" t="str">
        <f>DEC2HEX(ROUNDDOWN(S175/256,0),2)</f>
        <v>02</v>
      </c>
    </row>
    <row r="180" spans="1:23" outlineLevel="1">
      <c r="A180" s="90"/>
      <c r="B180" s="269"/>
      <c r="C180" s="270"/>
      <c r="D180" s="270"/>
      <c r="E180" s="270"/>
      <c r="F180" s="270"/>
      <c r="G180" s="271"/>
      <c r="R180" s="15"/>
      <c r="S180" s="1"/>
      <c r="U180" s="69" t="str">
        <f>DEC2HEX((R175-U179*256),2)</f>
        <v>58</v>
      </c>
      <c r="V180" s="69" t="str">
        <f>DEC2HEX((S175-V179*256),2)</f>
        <v>AD</v>
      </c>
    </row>
    <row r="181" spans="1:23" outlineLevel="1">
      <c r="A181" s="211"/>
      <c r="B181" s="272"/>
      <c r="C181" s="273"/>
      <c r="D181" s="273"/>
      <c r="E181" s="273"/>
      <c r="F181" s="274"/>
      <c r="G181" s="271"/>
      <c r="H181" s="4"/>
      <c r="I181" s="4"/>
      <c r="J181" s="4"/>
      <c r="K181" s="4"/>
      <c r="L181" s="4"/>
      <c r="M181" s="4"/>
      <c r="N181" s="4"/>
      <c r="O181" s="4"/>
      <c r="P181" s="5"/>
      <c r="R181" s="185"/>
      <c r="S181" s="19"/>
      <c r="U181" s="69" t="str">
        <f>DEC2HEX(ROUNDDOWN(R176/256,0),2)</f>
        <v>02</v>
      </c>
      <c r="V181" s="69" t="str">
        <f>DEC2HEX(ROUNDDOWN(S176/256,0),2)</f>
        <v>02</v>
      </c>
      <c r="W181" s="138"/>
    </row>
    <row r="182" spans="1:23" outlineLevel="1">
      <c r="A182" s="211"/>
      <c r="B182" s="272"/>
      <c r="C182" s="273"/>
      <c r="D182" s="273"/>
      <c r="E182" s="273"/>
      <c r="F182" s="274"/>
      <c r="G182" s="271"/>
      <c r="H182" s="4"/>
      <c r="I182" s="4"/>
      <c r="J182" s="4"/>
      <c r="K182" s="4"/>
      <c r="L182" s="4"/>
      <c r="M182" s="4"/>
      <c r="N182" s="4"/>
      <c r="O182" s="4"/>
      <c r="P182" s="5"/>
      <c r="R182" s="185"/>
      <c r="S182" s="19"/>
      <c r="U182" s="69" t="str">
        <f>DEC2HEX((R176-U181*256),2)</f>
        <v>BC</v>
      </c>
      <c r="V182" s="69" t="str">
        <f>DEC2HEX((S176-V181*256),2)</f>
        <v>29</v>
      </c>
      <c r="W182" s="138"/>
    </row>
    <row r="183" spans="1:23" outlineLevel="1">
      <c r="A183" s="211"/>
      <c r="B183" s="272"/>
      <c r="C183" s="273"/>
      <c r="D183" s="273"/>
      <c r="E183" s="273"/>
      <c r="F183" s="274"/>
      <c r="G183" s="271"/>
      <c r="H183" s="4"/>
      <c r="I183" s="4"/>
      <c r="J183" s="4"/>
      <c r="K183" s="4"/>
      <c r="L183" s="4"/>
      <c r="M183" s="4"/>
      <c r="N183" s="4"/>
      <c r="O183" s="4"/>
      <c r="P183" s="5"/>
      <c r="R183" s="185"/>
      <c r="S183" s="19"/>
      <c r="U183" s="69" t="str">
        <f>DEC2HEX(ROUNDDOWN(R177/256,0),2)</f>
        <v>03</v>
      </c>
      <c r="V183" s="69" t="str">
        <f>DEC2HEX(ROUNDDOWN(S177/256,0),2)</f>
        <v>01</v>
      </c>
      <c r="W183" s="138"/>
    </row>
    <row r="184" spans="1:23" ht="13.5" outlineLevel="1" thickBot="1">
      <c r="A184" s="211"/>
      <c r="B184" s="272"/>
      <c r="C184" s="273"/>
      <c r="D184" s="273"/>
      <c r="E184" s="273"/>
      <c r="F184" s="274"/>
      <c r="G184" s="271"/>
      <c r="H184" s="4"/>
      <c r="I184" s="4"/>
      <c r="J184" s="4"/>
      <c r="K184" s="4"/>
      <c r="L184" s="4"/>
      <c r="M184" s="4"/>
      <c r="N184" s="4"/>
      <c r="O184" s="4"/>
      <c r="P184" s="5"/>
      <c r="R184" s="185"/>
      <c r="S184" s="19"/>
      <c r="U184" s="69" t="str">
        <f>DEC2HEX((R177-U183*256),2)</f>
        <v>20</v>
      </c>
      <c r="V184" s="69" t="str">
        <f>DEC2HEX((S177-V183*256),2)</f>
        <v>53</v>
      </c>
      <c r="W184" s="138"/>
    </row>
    <row r="185" spans="1:23" outlineLevel="1">
      <c r="A185" s="211"/>
      <c r="B185" s="272"/>
      <c r="C185" s="273"/>
      <c r="D185" s="273"/>
      <c r="E185" s="273"/>
      <c r="F185" s="274"/>
      <c r="G185" s="271"/>
      <c r="H185" s="4"/>
      <c r="I185" s="4"/>
      <c r="J185" s="4"/>
      <c r="K185" s="4"/>
      <c r="L185" s="4"/>
      <c r="M185" s="4"/>
      <c r="N185" s="4"/>
      <c r="O185" s="4"/>
      <c r="P185" s="5"/>
      <c r="R185" s="185"/>
      <c r="S185" s="19"/>
      <c r="U185" s="264"/>
      <c r="V185" s="264"/>
      <c r="W185" s="138"/>
    </row>
    <row r="186" spans="1:23" outlineLevel="1">
      <c r="A186" s="211"/>
      <c r="B186" s="272"/>
      <c r="C186" s="273"/>
      <c r="D186" s="273"/>
      <c r="E186" s="273"/>
      <c r="F186" s="274"/>
      <c r="G186" s="271"/>
      <c r="H186" s="4"/>
      <c r="I186" s="4"/>
      <c r="J186" s="4"/>
      <c r="K186" s="4"/>
      <c r="L186" s="4"/>
      <c r="M186" s="4"/>
      <c r="N186" s="4"/>
      <c r="O186" s="4"/>
      <c r="P186" s="5"/>
      <c r="R186" s="185"/>
      <c r="S186" s="19"/>
      <c r="U186" s="94"/>
      <c r="V186" s="94"/>
      <c r="W186" s="138"/>
    </row>
    <row r="187" spans="1:23" outlineLevel="1">
      <c r="A187" s="211"/>
      <c r="B187" s="272"/>
      <c r="C187" s="273"/>
      <c r="D187" s="273"/>
      <c r="E187" s="273"/>
      <c r="F187" s="274"/>
      <c r="G187" s="271"/>
      <c r="H187" s="4"/>
      <c r="I187" s="4"/>
      <c r="J187" s="4"/>
      <c r="K187" s="4"/>
      <c r="L187" s="4"/>
      <c r="M187" s="4"/>
      <c r="N187" s="4"/>
      <c r="O187" s="4"/>
      <c r="P187" s="5"/>
      <c r="R187" s="185"/>
      <c r="S187" s="19"/>
      <c r="U187" s="94"/>
      <c r="V187" s="94"/>
      <c r="W187" s="138"/>
    </row>
    <row r="188" spans="1:23" ht="13.5" outlineLevel="1" thickBot="1">
      <c r="A188" s="211"/>
      <c r="B188" s="275"/>
      <c r="C188" s="276"/>
      <c r="D188" s="276"/>
      <c r="E188" s="276"/>
      <c r="F188" s="277"/>
      <c r="G188" s="278"/>
      <c r="H188" s="4"/>
      <c r="I188" s="4"/>
      <c r="J188" s="4"/>
      <c r="K188" s="4"/>
      <c r="L188" s="4"/>
      <c r="M188" s="4"/>
      <c r="N188" s="4"/>
      <c r="O188" s="4"/>
      <c r="P188" s="5"/>
      <c r="R188" s="185"/>
      <c r="S188" s="19"/>
      <c r="U188" s="94"/>
      <c r="V188" s="94"/>
      <c r="W188" s="138"/>
    </row>
    <row r="189" spans="1:23" s="16" customFormat="1" ht="13.5" outlineLevel="1" thickBot="1">
      <c r="A189" s="211"/>
      <c r="B189" s="211"/>
      <c r="C189" s="18"/>
      <c r="D189" s="18"/>
      <c r="E189" s="18"/>
      <c r="F189" s="17"/>
      <c r="G189" s="90"/>
      <c r="H189" s="4"/>
      <c r="I189" s="4"/>
      <c r="J189" s="4"/>
      <c r="K189" s="4"/>
      <c r="L189" s="4"/>
      <c r="M189" s="4"/>
      <c r="N189" s="4"/>
      <c r="O189" s="4"/>
      <c r="P189" s="4"/>
      <c r="R189" s="185"/>
      <c r="S189" s="19"/>
      <c r="U189" s="94"/>
      <c r="V189" s="94"/>
      <c r="W189" s="352"/>
    </row>
    <row r="190" spans="1:23" ht="26.25" outlineLevel="1" thickBot="1">
      <c r="A190" s="210"/>
      <c r="B190" s="246" t="s">
        <v>169</v>
      </c>
      <c r="C190" s="99" t="s">
        <v>170</v>
      </c>
      <c r="D190" s="154"/>
      <c r="E190" s="281"/>
      <c r="F190" s="282" t="s">
        <v>171</v>
      </c>
      <c r="G190" s="284"/>
      <c r="Q190" s="15"/>
      <c r="R190" s="184"/>
      <c r="S190" s="6"/>
      <c r="U190" s="6" t="s">
        <v>7</v>
      </c>
      <c r="V190" s="6" t="s">
        <v>8</v>
      </c>
    </row>
    <row r="191" spans="1:23" outlineLevel="1">
      <c r="A191" s="144"/>
      <c r="B191" s="247"/>
      <c r="C191" s="75"/>
      <c r="D191" s="110">
        <f>TRUNC(R191/10,2)</f>
        <v>0</v>
      </c>
      <c r="E191" s="283"/>
      <c r="F191" s="270"/>
      <c r="G191" s="289">
        <f>TRUNC(S191,2)</f>
        <v>7</v>
      </c>
      <c r="R191" s="146">
        <v>0</v>
      </c>
      <c r="S191" s="146">
        <v>7</v>
      </c>
      <c r="T191" t="s">
        <v>173</v>
      </c>
      <c r="U191" s="68" t="str">
        <f>DEC2HEX(ROUNDDOWN(R191/256,0),2)</f>
        <v>00</v>
      </c>
      <c r="V191" s="68" t="str">
        <f>DEC2HEX(ROUNDDOWN(S191/256,0),2)</f>
        <v>00</v>
      </c>
    </row>
    <row r="192" spans="1:23" ht="13.5" outlineLevel="1" thickBot="1">
      <c r="A192" s="144"/>
      <c r="B192" s="248"/>
      <c r="C192" s="75"/>
      <c r="D192" s="262">
        <f>TRUNC(R192/10,2)</f>
        <v>0.5</v>
      </c>
      <c r="E192" s="283"/>
      <c r="F192" s="270"/>
      <c r="G192" s="290">
        <f>TRUNC(S192,2)</f>
        <v>7</v>
      </c>
      <c r="R192" s="147">
        <v>5</v>
      </c>
      <c r="S192" s="147">
        <v>7</v>
      </c>
      <c r="T192" t="s">
        <v>172</v>
      </c>
      <c r="U192" s="69" t="str">
        <f>DEC2HEX(ROUNDDOWN((R191-U191*256),0),2)</f>
        <v>00</v>
      </c>
      <c r="V192" s="69" t="str">
        <f>DEC2HEX(ROUNDDOWN((S191-V191*256),0),2)</f>
        <v>07</v>
      </c>
    </row>
    <row r="193" spans="1:23" outlineLevel="1">
      <c r="A193" s="90"/>
      <c r="B193" s="319"/>
      <c r="C193" s="283"/>
      <c r="D193" s="262">
        <f>TRUNC(R193/10,2)</f>
        <v>2</v>
      </c>
      <c r="E193" s="283"/>
      <c r="F193" s="270"/>
      <c r="G193" s="290">
        <f t="shared" ref="G193:G194" si="15">TRUNC(S193,2)</f>
        <v>4</v>
      </c>
      <c r="R193" s="147">
        <v>20</v>
      </c>
      <c r="S193" s="147">
        <v>4</v>
      </c>
      <c r="U193" s="69" t="str">
        <f>DEC2HEX(ROUNDDOWN(R192/256,0),2)</f>
        <v>00</v>
      </c>
      <c r="V193" s="69" t="str">
        <f>DEC2HEX(ROUNDDOWN(S192/256,0),2)</f>
        <v>00</v>
      </c>
    </row>
    <row r="194" spans="1:23" outlineLevel="1">
      <c r="A194" s="90"/>
      <c r="B194" s="269"/>
      <c r="C194" s="283"/>
      <c r="D194" s="262">
        <f>TRUNC(R194/10,2)</f>
        <v>3</v>
      </c>
      <c r="E194" s="283"/>
      <c r="F194" s="270"/>
      <c r="G194" s="290">
        <f t="shared" si="15"/>
        <v>2</v>
      </c>
      <c r="R194" s="147">
        <v>30</v>
      </c>
      <c r="S194" s="147">
        <v>2</v>
      </c>
      <c r="U194" s="69" t="str">
        <f>DEC2HEX((R192-U193*256),2)</f>
        <v>05</v>
      </c>
      <c r="V194" s="69" t="str">
        <f>DEC2HEX((S192-V193*256),2)</f>
        <v>07</v>
      </c>
    </row>
    <row r="195" spans="1:23" ht="13.5" outlineLevel="1" thickBot="1">
      <c r="A195" s="90"/>
      <c r="B195" s="269"/>
      <c r="C195" s="283"/>
      <c r="D195" s="262">
        <f>TRUNC(R195/10,2)</f>
        <v>5</v>
      </c>
      <c r="E195" s="270"/>
      <c r="F195" s="270"/>
      <c r="G195" s="290">
        <f>TRUNC(S195,2)</f>
        <v>1</v>
      </c>
      <c r="R195" s="147">
        <v>50</v>
      </c>
      <c r="S195" s="147">
        <v>1</v>
      </c>
      <c r="U195" s="69" t="str">
        <f>DEC2HEX(ROUNDDOWN(R193/256,0),2)</f>
        <v>00</v>
      </c>
      <c r="V195" s="69" t="str">
        <f>DEC2HEX(ROUNDDOWN(S193/256,0),2)</f>
        <v>00</v>
      </c>
    </row>
    <row r="196" spans="1:23" outlineLevel="1">
      <c r="A196" s="90"/>
      <c r="B196" s="269"/>
      <c r="C196" s="283"/>
      <c r="D196" s="267"/>
      <c r="E196" s="270"/>
      <c r="F196" s="270"/>
      <c r="G196" s="265"/>
      <c r="R196" s="264"/>
      <c r="S196" s="264"/>
      <c r="U196" s="69" t="str">
        <f>DEC2HEX((R193-U195*256),2)</f>
        <v>14</v>
      </c>
      <c r="V196" s="69" t="str">
        <f>DEC2HEX((S193-V195*256),2)</f>
        <v>04</v>
      </c>
    </row>
    <row r="197" spans="1:23" outlineLevel="1">
      <c r="A197" s="90"/>
      <c r="B197" s="269"/>
      <c r="C197" s="270"/>
      <c r="D197" s="268"/>
      <c r="E197" s="270"/>
      <c r="F197" s="270"/>
      <c r="G197" s="266"/>
      <c r="R197" s="94"/>
      <c r="S197" s="94"/>
      <c r="U197" s="69" t="str">
        <f>DEC2HEX(ROUNDDOWN(R194/256,0),2)</f>
        <v>00</v>
      </c>
      <c r="V197" s="69" t="str">
        <f>DEC2HEX(ROUNDDOWN(S194/256,0),2)</f>
        <v>00</v>
      </c>
    </row>
    <row r="198" spans="1:23" outlineLevel="1">
      <c r="A198" s="90"/>
      <c r="B198" s="269"/>
      <c r="C198" s="270"/>
      <c r="D198" s="268"/>
      <c r="E198" s="270"/>
      <c r="F198" s="270"/>
      <c r="G198" s="266"/>
      <c r="R198" s="94"/>
      <c r="S198" s="94"/>
      <c r="U198" s="69" t="str">
        <f>DEC2HEX((R194-U197*256),2)</f>
        <v>1E</v>
      </c>
      <c r="V198" s="69" t="str">
        <f>DEC2HEX((S194-V197*256),2)</f>
        <v>02</v>
      </c>
    </row>
    <row r="199" spans="1:23" outlineLevel="1">
      <c r="A199" s="90"/>
      <c r="B199" s="269"/>
      <c r="C199" s="270"/>
      <c r="D199" s="268"/>
      <c r="E199" s="270"/>
      <c r="F199" s="270"/>
      <c r="G199" s="266"/>
      <c r="R199" s="94"/>
      <c r="S199" s="94"/>
      <c r="U199" s="69" t="str">
        <f>DEC2HEX(ROUNDDOWN(R195/256,0),2)</f>
        <v>00</v>
      </c>
      <c r="V199" s="69" t="str">
        <f>DEC2HEX(ROUNDDOWN(S195/256,0),2)</f>
        <v>00</v>
      </c>
    </row>
    <row r="200" spans="1:23" ht="13.5" outlineLevel="1" thickBot="1">
      <c r="A200" s="90"/>
      <c r="B200" s="320"/>
      <c r="C200" s="318"/>
      <c r="D200" s="318"/>
      <c r="E200" s="318"/>
      <c r="F200" s="318"/>
      <c r="G200" s="278"/>
      <c r="R200" s="15"/>
      <c r="S200" s="1"/>
      <c r="U200" s="70" t="str">
        <f>DEC2HEX((R195-U199*256),2)</f>
        <v>32</v>
      </c>
      <c r="V200" s="70" t="str">
        <f>DEC2HEX((S195-V199*256),2)</f>
        <v>01</v>
      </c>
    </row>
    <row r="201" spans="1:23" ht="13.5" outlineLevel="1" thickBot="1">
      <c r="A201" s="211"/>
      <c r="B201" s="14"/>
      <c r="C201" s="18"/>
      <c r="D201" s="18"/>
      <c r="E201" s="18"/>
      <c r="F201" s="17"/>
      <c r="G201" s="51"/>
      <c r="H201" s="4"/>
      <c r="I201" s="4"/>
      <c r="J201" s="4"/>
      <c r="K201" s="4"/>
      <c r="L201" s="4"/>
      <c r="M201" s="4"/>
      <c r="N201" s="4"/>
      <c r="O201" s="4"/>
      <c r="P201" s="5"/>
      <c r="R201" s="185"/>
      <c r="S201" s="19"/>
      <c r="U201" s="94"/>
      <c r="V201" s="94"/>
      <c r="W201" s="138"/>
    </row>
    <row r="202" spans="1:23" ht="13.5" outlineLevel="1" thickBot="1">
      <c r="A202" s="210"/>
      <c r="B202" s="246" t="s">
        <v>117</v>
      </c>
      <c r="C202" s="281" t="s">
        <v>118</v>
      </c>
      <c r="D202" s="342" t="s">
        <v>113</v>
      </c>
      <c r="E202" s="281"/>
      <c r="F202" s="282" t="s">
        <v>114</v>
      </c>
      <c r="G202" s="284" t="s">
        <v>115</v>
      </c>
      <c r="Q202" s="15"/>
      <c r="R202" s="184"/>
      <c r="S202" s="6"/>
      <c r="U202" s="6" t="s">
        <v>7</v>
      </c>
      <c r="V202" s="6" t="s">
        <v>8</v>
      </c>
    </row>
    <row r="203" spans="1:23" outlineLevel="1">
      <c r="A203" s="144"/>
      <c r="B203" s="336"/>
      <c r="C203" s="339">
        <v>3653</v>
      </c>
      <c r="D203" s="343">
        <f>TRUNC(R203*5/1023,2)</f>
        <v>0.17</v>
      </c>
      <c r="E203" s="283"/>
      <c r="F203" s="270"/>
      <c r="G203" s="289">
        <f>TRUNC(S203/10-40,2)</f>
        <v>80</v>
      </c>
      <c r="R203" s="146">
        <f>TRUNC(($C203/($C203+$B$206))*1023)</f>
        <v>36</v>
      </c>
      <c r="S203" s="146">
        <v>1200</v>
      </c>
      <c r="U203" s="68" t="str">
        <f>DEC2HEX(ROUNDDOWN(R203/256,0),2)</f>
        <v>00</v>
      </c>
      <c r="V203" s="68" t="str">
        <f>DEC2HEX(ROUNDDOWN(S203/256,0),2)</f>
        <v>04</v>
      </c>
    </row>
    <row r="204" spans="1:23" outlineLevel="1">
      <c r="A204" s="144"/>
      <c r="B204" s="337"/>
      <c r="C204" s="340">
        <v>10730</v>
      </c>
      <c r="D204" s="344">
        <f t="shared" ref="D204:D211" si="16">TRUNC(R204*5/1023,2)</f>
        <v>0.48</v>
      </c>
      <c r="E204" s="283"/>
      <c r="F204" s="270"/>
      <c r="G204" s="290">
        <f>TRUNC(S204/10-40,2)</f>
        <v>50</v>
      </c>
      <c r="R204" s="147">
        <f t="shared" ref="R204:R211" si="17">TRUNC(($C204/($C204+$B$206))*1023)</f>
        <v>99</v>
      </c>
      <c r="S204" s="147">
        <v>900</v>
      </c>
      <c r="U204" s="69" t="str">
        <f>DEC2HEX(ROUNDDOWN((R203-U203*256),0),2)</f>
        <v>24</v>
      </c>
      <c r="V204" s="69" t="str">
        <f>DEC2HEX(ROUNDDOWN((S203-V203*256),0),2)</f>
        <v>B0</v>
      </c>
    </row>
    <row r="205" spans="1:23" outlineLevel="1">
      <c r="A205" s="90"/>
      <c r="B205" s="333" t="s">
        <v>116</v>
      </c>
      <c r="C205" s="340">
        <v>24160</v>
      </c>
      <c r="D205" s="344">
        <f t="shared" si="16"/>
        <v>0.97</v>
      </c>
      <c r="E205" s="283"/>
      <c r="F205" s="270"/>
      <c r="G205" s="290">
        <f t="shared" ref="G205:G210" si="18">TRUNC(S205/10-40,2)</f>
        <v>30</v>
      </c>
      <c r="R205" s="147">
        <f t="shared" si="17"/>
        <v>199</v>
      </c>
      <c r="S205" s="147">
        <v>700</v>
      </c>
      <c r="U205" s="69" t="str">
        <f>DEC2HEX(ROUNDDOWN(R204/256,0),2)</f>
        <v>00</v>
      </c>
      <c r="V205" s="69" t="str">
        <f>DEC2HEX(ROUNDDOWN(S204/256,0),2)</f>
        <v>03</v>
      </c>
    </row>
    <row r="206" spans="1:23" outlineLevel="1">
      <c r="A206" s="90"/>
      <c r="B206" s="334">
        <v>100000</v>
      </c>
      <c r="C206" s="340">
        <v>30000</v>
      </c>
      <c r="D206" s="344">
        <f t="shared" si="16"/>
        <v>1.1499999999999999</v>
      </c>
      <c r="E206" s="283"/>
      <c r="F206" s="270"/>
      <c r="G206" s="290">
        <f t="shared" si="18"/>
        <v>25</v>
      </c>
      <c r="R206" s="147">
        <f t="shared" si="17"/>
        <v>236</v>
      </c>
      <c r="S206" s="147">
        <v>650</v>
      </c>
      <c r="U206" s="69" t="str">
        <f>DEC2HEX((R204-U205*256),2)</f>
        <v>63</v>
      </c>
      <c r="V206" s="69" t="str">
        <f>DEC2HEX((S204-V205*256),2)</f>
        <v>84</v>
      </c>
    </row>
    <row r="207" spans="1:23" outlineLevel="1">
      <c r="A207" s="90"/>
      <c r="B207" s="335"/>
      <c r="C207" s="340">
        <v>37460</v>
      </c>
      <c r="D207" s="344">
        <f t="shared" si="16"/>
        <v>1.35</v>
      </c>
      <c r="E207" s="270"/>
      <c r="F207" s="270"/>
      <c r="G207" s="290">
        <f t="shared" si="18"/>
        <v>20</v>
      </c>
      <c r="R207" s="147">
        <f t="shared" si="17"/>
        <v>278</v>
      </c>
      <c r="S207" s="147">
        <v>600</v>
      </c>
      <c r="U207" s="69" t="str">
        <f>DEC2HEX(ROUNDDOWN(R205/256,0),2)</f>
        <v>00</v>
      </c>
      <c r="V207" s="69" t="str">
        <f>DEC2HEX(ROUNDDOWN(S205/256,0),2)</f>
        <v>02</v>
      </c>
    </row>
    <row r="208" spans="1:23" outlineLevel="1">
      <c r="A208" s="90"/>
      <c r="B208" s="335"/>
      <c r="C208" s="340">
        <v>47070</v>
      </c>
      <c r="D208" s="344">
        <f t="shared" si="16"/>
        <v>1.59</v>
      </c>
      <c r="E208" s="270"/>
      <c r="F208" s="270"/>
      <c r="G208" s="290">
        <f t="shared" si="18"/>
        <v>15</v>
      </c>
      <c r="R208" s="147">
        <f t="shared" si="17"/>
        <v>327</v>
      </c>
      <c r="S208" s="147">
        <v>550</v>
      </c>
      <c r="U208" s="69" t="str">
        <f>DEC2HEX((R205-U207*256),2)</f>
        <v>C7</v>
      </c>
      <c r="V208" s="69" t="str">
        <f>DEC2HEX((S205-V207*256),2)</f>
        <v>BC</v>
      </c>
    </row>
    <row r="209" spans="1:23" outlineLevel="1">
      <c r="A209" s="90"/>
      <c r="B209" s="335"/>
      <c r="C209" s="340">
        <v>97000</v>
      </c>
      <c r="D209" s="344">
        <f t="shared" si="16"/>
        <v>2.4500000000000002</v>
      </c>
      <c r="E209" s="270"/>
      <c r="F209" s="270"/>
      <c r="G209" s="290">
        <f t="shared" si="18"/>
        <v>0</v>
      </c>
      <c r="R209" s="147">
        <f t="shared" si="17"/>
        <v>503</v>
      </c>
      <c r="S209" s="147">
        <v>400</v>
      </c>
      <c r="U209" s="69" t="str">
        <f>DEC2HEX(ROUNDDOWN(R206/256,0),2)</f>
        <v>00</v>
      </c>
      <c r="V209" s="69" t="str">
        <f>DEC2HEX(ROUNDDOWN(S206/256,0),2)</f>
        <v>02</v>
      </c>
    </row>
    <row r="210" spans="1:23" outlineLevel="1">
      <c r="A210" s="90"/>
      <c r="B210" s="335"/>
      <c r="C210" s="340">
        <v>373310</v>
      </c>
      <c r="D210" s="344">
        <f t="shared" si="16"/>
        <v>3.93</v>
      </c>
      <c r="E210" s="270"/>
      <c r="F210" s="270"/>
      <c r="G210" s="290">
        <f t="shared" si="18"/>
        <v>-25</v>
      </c>
      <c r="R210" s="147">
        <f t="shared" si="17"/>
        <v>806</v>
      </c>
      <c r="S210" s="147">
        <v>150</v>
      </c>
      <c r="U210" s="69" t="str">
        <f>DEC2HEX((R206-U209*256),2)</f>
        <v>EC</v>
      </c>
      <c r="V210" s="69" t="str">
        <f>DEC2HEX((S206-V209*256),2)</f>
        <v>8A</v>
      </c>
    </row>
    <row r="211" spans="1:23" ht="13.5" outlineLevel="1" thickBot="1">
      <c r="A211" s="90"/>
      <c r="B211" s="338"/>
      <c r="C211" s="341">
        <v>921970</v>
      </c>
      <c r="D211" s="345">
        <f t="shared" si="16"/>
        <v>4.5</v>
      </c>
      <c r="E211" s="270"/>
      <c r="F211" s="270"/>
      <c r="G211" s="291">
        <f>TRUNC(S211/10-40,2)</f>
        <v>-40</v>
      </c>
      <c r="R211" s="148">
        <f t="shared" si="17"/>
        <v>922</v>
      </c>
      <c r="S211" s="148">
        <v>0</v>
      </c>
      <c r="U211" s="69" t="str">
        <f>DEC2HEX(ROUNDDOWN(R207/256,0),2)</f>
        <v>01</v>
      </c>
      <c r="V211" s="69" t="str">
        <f>DEC2HEX(ROUNDDOWN(S207/256,0),2)</f>
        <v>02</v>
      </c>
    </row>
    <row r="212" spans="1:23" outlineLevel="1">
      <c r="A212" s="90"/>
      <c r="B212" s="269"/>
      <c r="C212" s="270"/>
      <c r="D212" s="270"/>
      <c r="E212" s="270"/>
      <c r="F212" s="270"/>
      <c r="G212" s="271"/>
      <c r="R212" s="346"/>
      <c r="S212" s="25"/>
      <c r="U212" s="69" t="str">
        <f>DEC2HEX((R207-U211*256),2)</f>
        <v>16</v>
      </c>
      <c r="V212" s="69" t="str">
        <f>DEC2HEX((S207-V211*256),2)</f>
        <v>58</v>
      </c>
    </row>
    <row r="213" spans="1:23" outlineLevel="1">
      <c r="A213" s="211"/>
      <c r="B213" s="272"/>
      <c r="C213" s="273"/>
      <c r="D213" s="273"/>
      <c r="E213" s="273"/>
      <c r="F213" s="274"/>
      <c r="G213" s="271"/>
      <c r="H213" s="4"/>
      <c r="I213" s="4"/>
      <c r="J213" s="4"/>
      <c r="K213" s="4"/>
      <c r="L213" s="4"/>
      <c r="M213" s="4"/>
      <c r="N213" s="4"/>
      <c r="O213" s="4"/>
      <c r="P213" s="5"/>
      <c r="R213" s="347"/>
      <c r="S213" s="17"/>
      <c r="U213" s="69" t="str">
        <f>DEC2HEX(ROUNDDOWN(R208/256,0),2)</f>
        <v>01</v>
      </c>
      <c r="V213" s="69" t="str">
        <f>DEC2HEX(ROUNDDOWN(S208/256,0),2)</f>
        <v>02</v>
      </c>
      <c r="W213" s="138"/>
    </row>
    <row r="214" spans="1:23" outlineLevel="1">
      <c r="A214" s="211"/>
      <c r="B214" s="272"/>
      <c r="C214" s="273"/>
      <c r="D214" s="273"/>
      <c r="E214" s="273"/>
      <c r="F214" s="274"/>
      <c r="G214" s="271"/>
      <c r="H214" s="4"/>
      <c r="I214" s="4"/>
      <c r="J214" s="4"/>
      <c r="K214" s="4"/>
      <c r="L214" s="4"/>
      <c r="M214" s="4"/>
      <c r="N214" s="4"/>
      <c r="O214" s="4"/>
      <c r="P214" s="5"/>
      <c r="R214" s="185"/>
      <c r="S214" s="19"/>
      <c r="U214" s="69" t="str">
        <f>DEC2HEX((R208-U213*256),2)</f>
        <v>47</v>
      </c>
      <c r="V214" s="69" t="str">
        <f>DEC2HEX((S208-V213*256),2)</f>
        <v>26</v>
      </c>
      <c r="W214" s="138"/>
    </row>
    <row r="215" spans="1:23" outlineLevel="1">
      <c r="A215" s="211"/>
      <c r="B215" s="272"/>
      <c r="C215" s="273"/>
      <c r="D215" s="273"/>
      <c r="E215" s="273"/>
      <c r="F215" s="274"/>
      <c r="G215" s="271"/>
      <c r="H215" s="4"/>
      <c r="I215" s="4"/>
      <c r="J215" s="4"/>
      <c r="K215" s="4"/>
      <c r="L215" s="4"/>
      <c r="M215" s="4"/>
      <c r="N215" s="4"/>
      <c r="O215" s="4"/>
      <c r="P215" s="5"/>
      <c r="R215" s="185"/>
      <c r="S215" s="19"/>
      <c r="U215" s="69" t="str">
        <f>DEC2HEX(ROUNDDOWN(R209/256,0),2)</f>
        <v>01</v>
      </c>
      <c r="V215" s="69" t="str">
        <f>DEC2HEX(ROUNDDOWN(S209/256,0),2)</f>
        <v>01</v>
      </c>
      <c r="W215" s="138"/>
    </row>
    <row r="216" spans="1:23" outlineLevel="1">
      <c r="A216" s="211"/>
      <c r="B216" s="272"/>
      <c r="C216" s="273"/>
      <c r="D216" s="273"/>
      <c r="E216" s="273"/>
      <c r="F216" s="274"/>
      <c r="G216" s="271"/>
      <c r="H216" s="4"/>
      <c r="I216" s="4"/>
      <c r="J216" s="4"/>
      <c r="K216" s="4"/>
      <c r="L216" s="4"/>
      <c r="M216" s="4"/>
      <c r="N216" s="4"/>
      <c r="O216" s="4"/>
      <c r="P216" s="5"/>
      <c r="R216" s="185"/>
      <c r="S216" s="19"/>
      <c r="U216" s="69" t="str">
        <f>DEC2HEX((R209-U215*256),2)</f>
        <v>F7</v>
      </c>
      <c r="V216" s="69" t="str">
        <f>DEC2HEX((S209-V215*256),2)</f>
        <v>90</v>
      </c>
      <c r="W216" s="138"/>
    </row>
    <row r="217" spans="1:23" outlineLevel="1">
      <c r="A217" s="211"/>
      <c r="B217" s="272"/>
      <c r="C217" s="273"/>
      <c r="D217" s="273"/>
      <c r="E217" s="273"/>
      <c r="F217" s="274"/>
      <c r="G217" s="271"/>
      <c r="H217" s="4"/>
      <c r="I217" s="4"/>
      <c r="J217" s="4"/>
      <c r="K217" s="4"/>
      <c r="L217" s="4"/>
      <c r="M217" s="4"/>
      <c r="N217" s="4"/>
      <c r="O217" s="4"/>
      <c r="P217" s="5"/>
      <c r="R217" s="185"/>
      <c r="S217" s="19"/>
      <c r="U217" s="69" t="str">
        <f>DEC2HEX(ROUNDDOWN(R210/256,0),2)</f>
        <v>03</v>
      </c>
      <c r="V217" s="69" t="str">
        <f>DEC2HEX(ROUNDDOWN(S210/256,0),2)</f>
        <v>00</v>
      </c>
      <c r="W217" s="138"/>
    </row>
    <row r="218" spans="1:23" outlineLevel="1">
      <c r="A218" s="211"/>
      <c r="B218" s="272"/>
      <c r="C218" s="273"/>
      <c r="D218" s="273"/>
      <c r="E218" s="273"/>
      <c r="F218" s="274"/>
      <c r="G218" s="271"/>
      <c r="H218" s="4"/>
      <c r="I218" s="4"/>
      <c r="J218" s="4"/>
      <c r="K218" s="4"/>
      <c r="L218" s="4"/>
      <c r="M218" s="4"/>
      <c r="N218" s="4"/>
      <c r="O218" s="4"/>
      <c r="P218" s="5"/>
      <c r="R218" s="185"/>
      <c r="S218" s="19"/>
      <c r="U218" s="69" t="str">
        <f>DEC2HEX((R210-U217*256),2)</f>
        <v>26</v>
      </c>
      <c r="V218" s="69" t="str">
        <f>DEC2HEX((S210-V217*256),2)</f>
        <v>96</v>
      </c>
      <c r="W218" s="138"/>
    </row>
    <row r="219" spans="1:23" outlineLevel="1">
      <c r="A219" s="211"/>
      <c r="B219" s="272"/>
      <c r="C219" s="273"/>
      <c r="D219" s="273"/>
      <c r="E219" s="273"/>
      <c r="F219" s="274"/>
      <c r="G219" s="271"/>
      <c r="H219" s="4"/>
      <c r="I219" s="4"/>
      <c r="J219" s="4"/>
      <c r="K219" s="4"/>
      <c r="L219" s="4"/>
      <c r="M219" s="4"/>
      <c r="N219" s="4"/>
      <c r="O219" s="4"/>
      <c r="P219" s="5"/>
      <c r="R219" s="185"/>
      <c r="S219" s="19"/>
      <c r="U219" s="69" t="str">
        <f>DEC2HEX(ROUNDDOWN(R211/256,0),2)</f>
        <v>03</v>
      </c>
      <c r="V219" s="69" t="str">
        <f>DEC2HEX(ROUNDDOWN(S211/256,0),2)</f>
        <v>00</v>
      </c>
      <c r="W219" s="138"/>
    </row>
    <row r="220" spans="1:23" ht="13.5" outlineLevel="1" thickBot="1">
      <c r="A220" s="211"/>
      <c r="B220" s="275"/>
      <c r="C220" s="276"/>
      <c r="D220" s="276"/>
      <c r="E220" s="276"/>
      <c r="F220" s="277"/>
      <c r="G220" s="278"/>
      <c r="H220" s="4"/>
      <c r="I220" s="4"/>
      <c r="J220" s="4"/>
      <c r="K220" s="4"/>
      <c r="L220" s="4"/>
      <c r="M220" s="4"/>
      <c r="N220" s="4"/>
      <c r="O220" s="4"/>
      <c r="P220" s="5"/>
      <c r="R220" s="185"/>
      <c r="S220" s="19"/>
      <c r="U220" s="70" t="str">
        <f>DEC2HEX((R211-U219*256),2)</f>
        <v>9A</v>
      </c>
      <c r="V220" s="70" t="str">
        <f>DEC2HEX((S211-V219*256),2)</f>
        <v>00</v>
      </c>
      <c r="W220" s="138"/>
    </row>
    <row r="221" spans="1:23" ht="13.5" outlineLevel="1" thickBot="1">
      <c r="A221" s="211"/>
      <c r="B221" s="285"/>
      <c r="C221" s="286"/>
      <c r="D221" s="286"/>
      <c r="E221" s="286"/>
      <c r="F221" s="287"/>
      <c r="G221" s="288"/>
      <c r="H221" s="4"/>
      <c r="I221" s="4"/>
      <c r="J221" s="4"/>
      <c r="K221" s="4"/>
      <c r="L221" s="4"/>
      <c r="M221" s="4"/>
      <c r="N221" s="4"/>
      <c r="O221" s="4"/>
      <c r="P221" s="5"/>
      <c r="R221" s="185"/>
      <c r="S221" s="19"/>
      <c r="U221" s="94"/>
      <c r="V221" s="94"/>
      <c r="W221" s="138"/>
    </row>
    <row r="222" spans="1:23" outlineLevel="1"/>
    <row r="1359" spans="19:19">
      <c r="S1359">
        <v>100</v>
      </c>
    </row>
  </sheetData>
  <dataConsolidate/>
  <mergeCells count="1">
    <mergeCell ref="C1:V1"/>
  </mergeCells>
  <phoneticPr fontId="0" type="noConversion"/>
  <printOptions horizontalCentered="1" verticalCentered="1"/>
  <pageMargins left="0.52" right="0.47244094488188981" top="0.82" bottom="0.98425196850393704" header="0.51181102362204722" footer="0.51181102362204722"/>
  <pageSetup paperSize="8" scale="22" fitToHeight="3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1" r:id="rId4" name="Scroll Bar 257">
              <controlPr defaultSize="0" autoPict="0">
                <anchor moveWithCells="1" sizeWithCells="1">
                  <from>
                    <xdr:col>5</xdr:col>
                    <xdr:colOff>123825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5" name="Scroll Bar 258">
              <controlPr defaultSize="0" autoPict="0">
                <anchor moveWithCells="1" sizeWithCells="1">
                  <from>
                    <xdr:col>5</xdr:col>
                    <xdr:colOff>123825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6" name="Scroll Bar 259">
              <controlPr defaultSize="0" autoPict="0">
                <anchor moveWithCells="1" sizeWithCells="1">
                  <from>
                    <xdr:col>5</xdr:col>
                    <xdr:colOff>123825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7" name="Scroll Bar 260">
              <controlPr defaultSize="0" autoPict="0">
                <anchor moveWithCells="1" sizeWithCells="1">
                  <from>
                    <xdr:col>5</xdr:col>
                    <xdr:colOff>123825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8" name="Scroll Bar 461">
              <controlPr defaultSize="0" autoPict="0">
                <anchor moveWithCells="1" sizeWithCells="1">
                  <from>
                    <xdr:col>5</xdr:col>
                    <xdr:colOff>123825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9" name="Scroll Bar 462">
              <controlPr defaultSize="0" autoPict="0">
                <anchor moveWithCells="1" sizeWithCells="1">
                  <from>
                    <xdr:col>5</xdr:col>
                    <xdr:colOff>123825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10" name="Scroll Bar 463">
              <controlPr defaultSize="0" autoPict="0">
                <anchor moveWithCells="1" sizeWithCells="1">
                  <from>
                    <xdr:col>5</xdr:col>
                    <xdr:colOff>123825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11" name="Scroll Bar 464">
              <controlPr defaultSize="0" autoPict="0">
                <anchor moveWithCells="1" sizeWithCells="1">
                  <from>
                    <xdr:col>5</xdr:col>
                    <xdr:colOff>123825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12" name="Scroll Bar 669">
              <controlPr defaultSize="0" autoPict="0">
                <anchor moveWithCells="1" sizeWithCells="1">
                  <from>
                    <xdr:col>5</xdr:col>
                    <xdr:colOff>123825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13" name="Scroll Bar 670">
              <controlPr defaultSize="0" autoPict="0">
                <anchor moveWithCells="1" sizeWithCells="1">
                  <from>
                    <xdr:col>5</xdr:col>
                    <xdr:colOff>123825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4" name="Scroll Bar 671">
              <controlPr defaultSize="0" autoPict="0">
                <anchor moveWithCells="1" sizeWithCells="1">
                  <from>
                    <xdr:col>5</xdr:col>
                    <xdr:colOff>123825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5" name="Scroll Bar 672">
              <controlPr defaultSize="0" autoPict="0">
                <anchor moveWithCells="1" sizeWithCells="1">
                  <from>
                    <xdr:col>5</xdr:col>
                    <xdr:colOff>123825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16" name="Scroll Bar 737">
              <controlPr defaultSize="0" autoPict="0">
                <anchor moveWithCells="1" sizeWithCells="1">
                  <from>
                    <xdr:col>5</xdr:col>
                    <xdr:colOff>123825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17" name="Scroll Bar 738">
              <controlPr defaultSize="0" autoPict="0">
                <anchor moveWithCells="1" sizeWithCells="1">
                  <from>
                    <xdr:col>5</xdr:col>
                    <xdr:colOff>123825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18" name="Scroll Bar 739">
              <controlPr defaultSize="0" autoPict="0">
                <anchor moveWithCells="1" sizeWithCells="1">
                  <from>
                    <xdr:col>5</xdr:col>
                    <xdr:colOff>123825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19" name="Scroll Bar 740">
              <controlPr defaultSize="0" autoPict="0">
                <anchor moveWithCells="1" sizeWithCells="1">
                  <from>
                    <xdr:col>5</xdr:col>
                    <xdr:colOff>123825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20" name="Scroll Bar 754">
              <controlPr defaultSize="0" autoPict="0">
                <anchor moveWithCells="1" sizeWithCells="1">
                  <from>
                    <xdr:col>2</xdr:col>
                    <xdr:colOff>171450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21" name="Scroll Bar 755">
              <controlPr defaultSize="0" autoPict="0">
                <anchor moveWithCells="1" sizeWithCells="1">
                  <from>
                    <xdr:col>2</xdr:col>
                    <xdr:colOff>171450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22" name="Scroll Bar 760">
              <controlPr defaultSize="0" autoPict="0">
                <anchor moveWithCells="1" sizeWithCells="1">
                  <from>
                    <xdr:col>2</xdr:col>
                    <xdr:colOff>171450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23" name="Scroll Bar 761">
              <controlPr defaultSize="0" autoPict="0">
                <anchor moveWithCells="1" sizeWithCells="1">
                  <from>
                    <xdr:col>2</xdr:col>
                    <xdr:colOff>171450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9" r:id="rId24" name="Drop Down 1095">
              <controlPr defaultSize="0" autoLine="0" autoPict="0">
                <anchor moveWithCells="1">
                  <from>
                    <xdr:col>4</xdr:col>
                    <xdr:colOff>314325</xdr:colOff>
                    <xdr:row>7</xdr:row>
                    <xdr:rowOff>123825</xdr:rowOff>
                  </from>
                  <to>
                    <xdr:col>5</xdr:col>
                    <xdr:colOff>1343025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0" r:id="rId25" name="Scroll Bar 5174">
              <controlPr defaultSize="0" autoPict="0">
                <anchor moveWithCells="1" sizeWithCells="1">
                  <from>
                    <xdr:col>5</xdr:col>
                    <xdr:colOff>295275</xdr:colOff>
                    <xdr:row>43</xdr:row>
                    <xdr:rowOff>19050</xdr:rowOff>
                  </from>
                  <to>
                    <xdr:col>5</xdr:col>
                    <xdr:colOff>1343025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1" r:id="rId26" name="Scroll Bar 5175">
              <controlPr defaultSize="0" autoPict="0">
                <anchor moveWithCells="1" sizeWithCells="1">
                  <from>
                    <xdr:col>5</xdr:col>
                    <xdr:colOff>295275</xdr:colOff>
                    <xdr:row>44</xdr:row>
                    <xdr:rowOff>19050</xdr:rowOff>
                  </from>
                  <to>
                    <xdr:col>5</xdr:col>
                    <xdr:colOff>1343025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2" r:id="rId27" name="Scroll Bar 5176">
              <controlPr defaultSize="0" autoPict="0">
                <anchor moveWithCells="1" sizeWithCells="1">
                  <from>
                    <xdr:col>5</xdr:col>
                    <xdr:colOff>295275</xdr:colOff>
                    <xdr:row>45</xdr:row>
                    <xdr:rowOff>19050</xdr:rowOff>
                  </from>
                  <to>
                    <xdr:col>5</xdr:col>
                    <xdr:colOff>1343025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3" r:id="rId28" name="Scroll Bar 5177">
              <controlPr defaultSize="0" autoPict="0">
                <anchor moveWithCells="1" sizeWithCells="1">
                  <from>
                    <xdr:col>5</xdr:col>
                    <xdr:colOff>295275</xdr:colOff>
                    <xdr:row>46</xdr:row>
                    <xdr:rowOff>19050</xdr:rowOff>
                  </from>
                  <to>
                    <xdr:col>5</xdr:col>
                    <xdr:colOff>1343025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4" r:id="rId29" name="Scroll Bar 5178">
              <controlPr defaultSize="0" autoPict="0">
                <anchor moveWithCells="1" sizeWithCells="1">
                  <from>
                    <xdr:col>5</xdr:col>
                    <xdr:colOff>295275</xdr:colOff>
                    <xdr:row>47</xdr:row>
                    <xdr:rowOff>19050</xdr:rowOff>
                  </from>
                  <to>
                    <xdr:col>5</xdr:col>
                    <xdr:colOff>1343025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5" r:id="rId30" name="Scroll Bar 5179">
              <controlPr defaultSize="0" autoPict="0">
                <anchor moveWithCells="1" sizeWithCells="1">
                  <from>
                    <xdr:col>5</xdr:col>
                    <xdr:colOff>295275</xdr:colOff>
                    <xdr:row>48</xdr:row>
                    <xdr:rowOff>19050</xdr:rowOff>
                  </from>
                  <to>
                    <xdr:col>5</xdr:col>
                    <xdr:colOff>1343025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6" r:id="rId31" name="Scroll Bar 5180">
              <controlPr defaultSize="0" autoPict="0">
                <anchor moveWithCells="1" sizeWithCells="1">
                  <from>
                    <xdr:col>5</xdr:col>
                    <xdr:colOff>295275</xdr:colOff>
                    <xdr:row>49</xdr:row>
                    <xdr:rowOff>19050</xdr:rowOff>
                  </from>
                  <to>
                    <xdr:col>5</xdr:col>
                    <xdr:colOff>1343025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620" r:id="rId32" name="Scroll Bar 17044">
              <controlPr defaultSize="0" autoPict="0">
                <anchor moveWithCells="1" sizeWithCells="1">
                  <from>
                    <xdr:col>2</xdr:col>
                    <xdr:colOff>66675</xdr:colOff>
                    <xdr:row>79</xdr:row>
                    <xdr:rowOff>9525</xdr:rowOff>
                  </from>
                  <to>
                    <xdr:col>2</xdr:col>
                    <xdr:colOff>1400175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621" r:id="rId33" name="Scroll Bar 17045">
              <controlPr defaultSize="0" autoPict="0">
                <anchor moveWithCells="1" sizeWithCells="1">
                  <from>
                    <xdr:col>2</xdr:col>
                    <xdr:colOff>66675</xdr:colOff>
                    <xdr:row>80</xdr:row>
                    <xdr:rowOff>9525</xdr:rowOff>
                  </from>
                  <to>
                    <xdr:col>2</xdr:col>
                    <xdr:colOff>1400175</xdr:colOff>
                    <xdr:row>80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622" r:id="rId34" name="Scroll Bar 17046">
              <controlPr defaultSize="0" autoPict="0">
                <anchor moveWithCells="1" sizeWithCells="1">
                  <from>
                    <xdr:col>2</xdr:col>
                    <xdr:colOff>66675</xdr:colOff>
                    <xdr:row>81</xdr:row>
                    <xdr:rowOff>0</xdr:rowOff>
                  </from>
                  <to>
                    <xdr:col>2</xdr:col>
                    <xdr:colOff>1400175</xdr:colOff>
                    <xdr:row>81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623" r:id="rId35" name="Scroll Bar 17047">
              <controlPr defaultSize="0" autoPict="0">
                <anchor moveWithCells="1" sizeWithCells="1">
                  <from>
                    <xdr:col>2</xdr:col>
                    <xdr:colOff>66675</xdr:colOff>
                    <xdr:row>82</xdr:row>
                    <xdr:rowOff>0</xdr:rowOff>
                  </from>
                  <to>
                    <xdr:col>2</xdr:col>
                    <xdr:colOff>1400175</xdr:colOff>
                    <xdr:row>82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624" r:id="rId36" name="Scroll Bar 17048">
              <controlPr defaultSize="0" autoPict="0">
                <anchor moveWithCells="1" sizeWithCells="1">
                  <from>
                    <xdr:col>2</xdr:col>
                    <xdr:colOff>66675</xdr:colOff>
                    <xdr:row>83</xdr:row>
                    <xdr:rowOff>0</xdr:rowOff>
                  </from>
                  <to>
                    <xdr:col>2</xdr:col>
                    <xdr:colOff>1400175</xdr:colOff>
                    <xdr:row>83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625" r:id="rId37" name="Scroll Bar 17049">
              <controlPr defaultSize="0" autoPict="0">
                <anchor moveWithCells="1" sizeWithCells="1">
                  <from>
                    <xdr:col>2</xdr:col>
                    <xdr:colOff>66675</xdr:colOff>
                    <xdr:row>84</xdr:row>
                    <xdr:rowOff>9525</xdr:rowOff>
                  </from>
                  <to>
                    <xdr:col>2</xdr:col>
                    <xdr:colOff>1400175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629" r:id="rId38" name="Scroll Bar 17053">
              <controlPr defaultSize="0" autoPict="0">
                <anchor moveWithCells="1" sizeWithCells="1">
                  <from>
                    <xdr:col>4</xdr:col>
                    <xdr:colOff>1095375</xdr:colOff>
                    <xdr:row>79</xdr:row>
                    <xdr:rowOff>0</xdr:rowOff>
                  </from>
                  <to>
                    <xdr:col>5</xdr:col>
                    <xdr:colOff>1419225</xdr:colOff>
                    <xdr:row>79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630" r:id="rId39" name="Scroll Bar 17054">
              <controlPr defaultSize="0" autoPict="0">
                <anchor moveWithCells="1" sizeWithCells="1">
                  <from>
                    <xdr:col>4</xdr:col>
                    <xdr:colOff>1095375</xdr:colOff>
                    <xdr:row>79</xdr:row>
                    <xdr:rowOff>152400</xdr:rowOff>
                  </from>
                  <to>
                    <xdr:col>5</xdr:col>
                    <xdr:colOff>1419225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631" r:id="rId40" name="Scroll Bar 17055">
              <controlPr defaultSize="0" autoPict="0">
                <anchor moveWithCells="1" sizeWithCells="1">
                  <from>
                    <xdr:col>4</xdr:col>
                    <xdr:colOff>1095375</xdr:colOff>
                    <xdr:row>80</xdr:row>
                    <xdr:rowOff>152400</xdr:rowOff>
                  </from>
                  <to>
                    <xdr:col>5</xdr:col>
                    <xdr:colOff>1419225</xdr:colOff>
                    <xdr:row>81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632" r:id="rId41" name="Scroll Bar 17056">
              <controlPr defaultSize="0" autoPict="0">
                <anchor moveWithCells="1" sizeWithCells="1">
                  <from>
                    <xdr:col>4</xdr:col>
                    <xdr:colOff>1095375</xdr:colOff>
                    <xdr:row>81</xdr:row>
                    <xdr:rowOff>142875</xdr:rowOff>
                  </from>
                  <to>
                    <xdr:col>5</xdr:col>
                    <xdr:colOff>1419225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633" r:id="rId42" name="Scroll Bar 17057">
              <controlPr defaultSize="0" autoPict="0">
                <anchor moveWithCells="1" sizeWithCells="1">
                  <from>
                    <xdr:col>4</xdr:col>
                    <xdr:colOff>1095375</xdr:colOff>
                    <xdr:row>82</xdr:row>
                    <xdr:rowOff>152400</xdr:rowOff>
                  </from>
                  <to>
                    <xdr:col>5</xdr:col>
                    <xdr:colOff>1419225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634" r:id="rId43" name="Scroll Bar 17058">
              <controlPr defaultSize="0" autoPict="0">
                <anchor moveWithCells="1" sizeWithCells="1">
                  <from>
                    <xdr:col>4</xdr:col>
                    <xdr:colOff>1095375</xdr:colOff>
                    <xdr:row>83</xdr:row>
                    <xdr:rowOff>152400</xdr:rowOff>
                  </from>
                  <to>
                    <xdr:col>5</xdr:col>
                    <xdr:colOff>1419225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693" r:id="rId44" name="Scroll Bar 17117">
              <controlPr defaultSize="0" autoPict="0">
                <anchor moveWithCells="1" sizeWithCells="1">
                  <from>
                    <xdr:col>2</xdr:col>
                    <xdr:colOff>66675</xdr:colOff>
                    <xdr:row>150</xdr:row>
                    <xdr:rowOff>9525</xdr:rowOff>
                  </from>
                  <to>
                    <xdr:col>2</xdr:col>
                    <xdr:colOff>1400175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694" r:id="rId45" name="Scroll Bar 17118">
              <controlPr defaultSize="0" autoPict="0">
                <anchor moveWithCells="1" sizeWithCells="1">
                  <from>
                    <xdr:col>2</xdr:col>
                    <xdr:colOff>66675</xdr:colOff>
                    <xdr:row>151</xdr:row>
                    <xdr:rowOff>9525</xdr:rowOff>
                  </from>
                  <to>
                    <xdr:col>2</xdr:col>
                    <xdr:colOff>1400175</xdr:colOff>
                    <xdr:row>151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695" r:id="rId46" name="Scroll Bar 17119">
              <controlPr defaultSize="0" autoPict="0">
                <anchor moveWithCells="1" sizeWithCells="1">
                  <from>
                    <xdr:col>2</xdr:col>
                    <xdr:colOff>66675</xdr:colOff>
                    <xdr:row>152</xdr:row>
                    <xdr:rowOff>0</xdr:rowOff>
                  </from>
                  <to>
                    <xdr:col>2</xdr:col>
                    <xdr:colOff>1400175</xdr:colOff>
                    <xdr:row>152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696" r:id="rId47" name="Scroll Bar 17120">
              <controlPr defaultSize="0" autoPict="0">
                <anchor moveWithCells="1" sizeWithCells="1">
                  <from>
                    <xdr:col>2</xdr:col>
                    <xdr:colOff>66675</xdr:colOff>
                    <xdr:row>153</xdr:row>
                    <xdr:rowOff>0</xdr:rowOff>
                  </from>
                  <to>
                    <xdr:col>2</xdr:col>
                    <xdr:colOff>1400175</xdr:colOff>
                    <xdr:row>153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697" r:id="rId48" name="Scroll Bar 17121">
              <controlPr defaultSize="0" autoPict="0">
                <anchor moveWithCells="1" sizeWithCells="1">
                  <from>
                    <xdr:col>2</xdr:col>
                    <xdr:colOff>66675</xdr:colOff>
                    <xdr:row>154</xdr:row>
                    <xdr:rowOff>0</xdr:rowOff>
                  </from>
                  <to>
                    <xdr:col>2</xdr:col>
                    <xdr:colOff>1400175</xdr:colOff>
                    <xdr:row>154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698" r:id="rId49" name="Scroll Bar 17122">
              <controlPr defaultSize="0" autoPict="0">
                <anchor moveWithCells="1" sizeWithCells="1">
                  <from>
                    <xdr:col>2</xdr:col>
                    <xdr:colOff>66675</xdr:colOff>
                    <xdr:row>155</xdr:row>
                    <xdr:rowOff>9525</xdr:rowOff>
                  </from>
                  <to>
                    <xdr:col>2</xdr:col>
                    <xdr:colOff>1400175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699" r:id="rId50" name="Scroll Bar 17123">
              <controlPr defaultSize="0" autoPict="0">
                <anchor moveWithCells="1" sizeWithCells="1">
                  <from>
                    <xdr:col>2</xdr:col>
                    <xdr:colOff>66675</xdr:colOff>
                    <xdr:row>156</xdr:row>
                    <xdr:rowOff>9525</xdr:rowOff>
                  </from>
                  <to>
                    <xdr:col>2</xdr:col>
                    <xdr:colOff>1400175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702" r:id="rId51" name="Scroll Bar 17126">
              <controlPr defaultSize="0" autoPict="0">
                <anchor moveWithCells="1" sizeWithCells="1">
                  <from>
                    <xdr:col>4</xdr:col>
                    <xdr:colOff>1095375</xdr:colOff>
                    <xdr:row>150</xdr:row>
                    <xdr:rowOff>0</xdr:rowOff>
                  </from>
                  <to>
                    <xdr:col>5</xdr:col>
                    <xdr:colOff>1419225</xdr:colOff>
                    <xdr:row>150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703" r:id="rId52" name="Scroll Bar 17127">
              <controlPr defaultSize="0" autoPict="0">
                <anchor moveWithCells="1" sizeWithCells="1">
                  <from>
                    <xdr:col>4</xdr:col>
                    <xdr:colOff>1095375</xdr:colOff>
                    <xdr:row>150</xdr:row>
                    <xdr:rowOff>152400</xdr:rowOff>
                  </from>
                  <to>
                    <xdr:col>5</xdr:col>
                    <xdr:colOff>1419225</xdr:colOff>
                    <xdr:row>151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704" r:id="rId53" name="Scroll Bar 17128">
              <controlPr defaultSize="0" autoPict="0">
                <anchor moveWithCells="1" sizeWithCells="1">
                  <from>
                    <xdr:col>4</xdr:col>
                    <xdr:colOff>1095375</xdr:colOff>
                    <xdr:row>151</xdr:row>
                    <xdr:rowOff>152400</xdr:rowOff>
                  </from>
                  <to>
                    <xdr:col>5</xdr:col>
                    <xdr:colOff>1419225</xdr:colOff>
                    <xdr:row>152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705" r:id="rId54" name="Scroll Bar 17129">
              <controlPr defaultSize="0" autoPict="0">
                <anchor moveWithCells="1" sizeWithCells="1">
                  <from>
                    <xdr:col>4</xdr:col>
                    <xdr:colOff>1095375</xdr:colOff>
                    <xdr:row>152</xdr:row>
                    <xdr:rowOff>142875</xdr:rowOff>
                  </from>
                  <to>
                    <xdr:col>5</xdr:col>
                    <xdr:colOff>1419225</xdr:colOff>
                    <xdr:row>153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706" r:id="rId55" name="Scroll Bar 17130">
              <controlPr defaultSize="0" autoPict="0">
                <anchor moveWithCells="1" sizeWithCells="1">
                  <from>
                    <xdr:col>4</xdr:col>
                    <xdr:colOff>1095375</xdr:colOff>
                    <xdr:row>153</xdr:row>
                    <xdr:rowOff>152400</xdr:rowOff>
                  </from>
                  <to>
                    <xdr:col>5</xdr:col>
                    <xdr:colOff>1419225</xdr:colOff>
                    <xdr:row>154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707" r:id="rId56" name="Scroll Bar 17131">
              <controlPr defaultSize="0" autoPict="0">
                <anchor moveWithCells="1" sizeWithCells="1">
                  <from>
                    <xdr:col>4</xdr:col>
                    <xdr:colOff>1095375</xdr:colOff>
                    <xdr:row>154</xdr:row>
                    <xdr:rowOff>152400</xdr:rowOff>
                  </from>
                  <to>
                    <xdr:col>5</xdr:col>
                    <xdr:colOff>1419225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708" r:id="rId57" name="Scroll Bar 17132">
              <controlPr defaultSize="0" autoPict="0">
                <anchor moveWithCells="1" sizeWithCells="1">
                  <from>
                    <xdr:col>4</xdr:col>
                    <xdr:colOff>1095375</xdr:colOff>
                    <xdr:row>155</xdr:row>
                    <xdr:rowOff>152400</xdr:rowOff>
                  </from>
                  <to>
                    <xdr:col>5</xdr:col>
                    <xdr:colOff>1419225</xdr:colOff>
                    <xdr:row>156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009" r:id="rId58" name="Scroll Bar 18057">
              <controlPr defaultSize="0" autoPict="0">
                <anchor moveWithCells="1" sizeWithCells="1">
                  <from>
                    <xdr:col>2</xdr:col>
                    <xdr:colOff>66675</xdr:colOff>
                    <xdr:row>140</xdr:row>
                    <xdr:rowOff>9525</xdr:rowOff>
                  </from>
                  <to>
                    <xdr:col>2</xdr:col>
                    <xdr:colOff>1400175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010" r:id="rId59" name="Scroll Bar 18058">
              <controlPr defaultSize="0" autoPict="0">
                <anchor moveWithCells="1" sizeWithCells="1">
                  <from>
                    <xdr:col>2</xdr:col>
                    <xdr:colOff>66675</xdr:colOff>
                    <xdr:row>141</xdr:row>
                    <xdr:rowOff>9525</xdr:rowOff>
                  </from>
                  <to>
                    <xdr:col>2</xdr:col>
                    <xdr:colOff>1400175</xdr:colOff>
                    <xdr:row>141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011" r:id="rId60" name="Scroll Bar 18059">
              <controlPr defaultSize="0" autoPict="0">
                <anchor moveWithCells="1" sizeWithCells="1">
                  <from>
                    <xdr:col>2</xdr:col>
                    <xdr:colOff>66675</xdr:colOff>
                    <xdr:row>142</xdr:row>
                    <xdr:rowOff>0</xdr:rowOff>
                  </from>
                  <to>
                    <xdr:col>2</xdr:col>
                    <xdr:colOff>1400175</xdr:colOff>
                    <xdr:row>142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647" r:id="rId61" name="Scroll Bar 18447">
              <controlPr defaultSize="0" autoPict="0">
                <anchor moveWithCells="1" sizeWithCells="1">
                  <from>
                    <xdr:col>4</xdr:col>
                    <xdr:colOff>1095375</xdr:colOff>
                    <xdr:row>202</xdr:row>
                    <xdr:rowOff>0</xdr:rowOff>
                  </from>
                  <to>
                    <xdr:col>5</xdr:col>
                    <xdr:colOff>1419225</xdr:colOff>
                    <xdr:row>202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648" r:id="rId62" name="Scroll Bar 18448">
              <controlPr defaultSize="0" autoPict="0">
                <anchor moveWithCells="1" sizeWithCells="1">
                  <from>
                    <xdr:col>4</xdr:col>
                    <xdr:colOff>1095375</xdr:colOff>
                    <xdr:row>202</xdr:row>
                    <xdr:rowOff>152400</xdr:rowOff>
                  </from>
                  <to>
                    <xdr:col>5</xdr:col>
                    <xdr:colOff>1419225</xdr:colOff>
                    <xdr:row>203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649" r:id="rId63" name="Scroll Bar 18449">
              <controlPr defaultSize="0" autoPict="0">
                <anchor moveWithCells="1" sizeWithCells="1">
                  <from>
                    <xdr:col>4</xdr:col>
                    <xdr:colOff>1095375</xdr:colOff>
                    <xdr:row>203</xdr:row>
                    <xdr:rowOff>152400</xdr:rowOff>
                  </from>
                  <to>
                    <xdr:col>5</xdr:col>
                    <xdr:colOff>1419225</xdr:colOff>
                    <xdr:row>204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650" r:id="rId64" name="Scroll Bar 18450">
              <controlPr defaultSize="0" autoPict="0">
                <anchor moveWithCells="1" sizeWithCells="1">
                  <from>
                    <xdr:col>4</xdr:col>
                    <xdr:colOff>1095375</xdr:colOff>
                    <xdr:row>204</xdr:row>
                    <xdr:rowOff>142875</xdr:rowOff>
                  </from>
                  <to>
                    <xdr:col>5</xdr:col>
                    <xdr:colOff>1419225</xdr:colOff>
                    <xdr:row>205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651" r:id="rId65" name="Scroll Bar 18451">
              <controlPr defaultSize="0" autoPict="0">
                <anchor moveWithCells="1" sizeWithCells="1">
                  <from>
                    <xdr:col>4</xdr:col>
                    <xdr:colOff>1095375</xdr:colOff>
                    <xdr:row>205</xdr:row>
                    <xdr:rowOff>152400</xdr:rowOff>
                  </from>
                  <to>
                    <xdr:col>5</xdr:col>
                    <xdr:colOff>1419225</xdr:colOff>
                    <xdr:row>206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652" r:id="rId66" name="Scroll Bar 18452">
              <controlPr defaultSize="0" autoPict="0">
                <anchor moveWithCells="1" sizeWithCells="1">
                  <from>
                    <xdr:col>4</xdr:col>
                    <xdr:colOff>1095375</xdr:colOff>
                    <xdr:row>207</xdr:row>
                    <xdr:rowOff>0</xdr:rowOff>
                  </from>
                  <to>
                    <xdr:col>5</xdr:col>
                    <xdr:colOff>1419225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653" r:id="rId67" name="Scroll Bar 18453">
              <controlPr defaultSize="0" autoPict="0">
                <anchor moveWithCells="1" sizeWithCells="1">
                  <from>
                    <xdr:col>4</xdr:col>
                    <xdr:colOff>1095375</xdr:colOff>
                    <xdr:row>207</xdr:row>
                    <xdr:rowOff>152400</xdr:rowOff>
                  </from>
                  <to>
                    <xdr:col>5</xdr:col>
                    <xdr:colOff>1419225</xdr:colOff>
                    <xdr:row>208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654" r:id="rId68" name="Scroll Bar 18454">
              <controlPr defaultSize="0" autoPict="0">
                <anchor moveWithCells="1" sizeWithCells="1">
                  <from>
                    <xdr:col>4</xdr:col>
                    <xdr:colOff>1095375</xdr:colOff>
                    <xdr:row>208</xdr:row>
                    <xdr:rowOff>152400</xdr:rowOff>
                  </from>
                  <to>
                    <xdr:col>5</xdr:col>
                    <xdr:colOff>1419225</xdr:colOff>
                    <xdr:row>209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655" r:id="rId69" name="Scroll Bar 18455">
              <controlPr defaultSize="0" autoPict="0">
                <anchor moveWithCells="1" sizeWithCells="1">
                  <from>
                    <xdr:col>4</xdr:col>
                    <xdr:colOff>1095375</xdr:colOff>
                    <xdr:row>209</xdr:row>
                    <xdr:rowOff>133350</xdr:rowOff>
                  </from>
                  <to>
                    <xdr:col>5</xdr:col>
                    <xdr:colOff>1419225</xdr:colOff>
                    <xdr:row>210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885" r:id="rId70" name="Scroll Bar 18685">
              <controlPr defaultSize="0" autoPict="0">
                <anchor moveWithCells="1" sizeWithCells="1">
                  <from>
                    <xdr:col>2</xdr:col>
                    <xdr:colOff>66675</xdr:colOff>
                    <xdr:row>190</xdr:row>
                    <xdr:rowOff>9525</xdr:rowOff>
                  </from>
                  <to>
                    <xdr:col>2</xdr:col>
                    <xdr:colOff>1400175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886" r:id="rId71" name="Scroll Bar 18686">
              <controlPr defaultSize="0" autoPict="0">
                <anchor moveWithCells="1" sizeWithCells="1">
                  <from>
                    <xdr:col>2</xdr:col>
                    <xdr:colOff>66675</xdr:colOff>
                    <xdr:row>191</xdr:row>
                    <xdr:rowOff>9525</xdr:rowOff>
                  </from>
                  <to>
                    <xdr:col>2</xdr:col>
                    <xdr:colOff>1400175</xdr:colOff>
                    <xdr:row>191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887" r:id="rId72" name="Scroll Bar 18687">
              <controlPr defaultSize="0" autoPict="0">
                <anchor moveWithCells="1" sizeWithCells="1">
                  <from>
                    <xdr:col>2</xdr:col>
                    <xdr:colOff>66675</xdr:colOff>
                    <xdr:row>192</xdr:row>
                    <xdr:rowOff>0</xdr:rowOff>
                  </from>
                  <to>
                    <xdr:col>2</xdr:col>
                    <xdr:colOff>1400175</xdr:colOff>
                    <xdr:row>192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888" r:id="rId73" name="Scroll Bar 18688">
              <controlPr defaultSize="0" autoPict="0">
                <anchor moveWithCells="1" sizeWithCells="1">
                  <from>
                    <xdr:col>2</xdr:col>
                    <xdr:colOff>66675</xdr:colOff>
                    <xdr:row>193</xdr:row>
                    <xdr:rowOff>0</xdr:rowOff>
                  </from>
                  <to>
                    <xdr:col>2</xdr:col>
                    <xdr:colOff>1400175</xdr:colOff>
                    <xdr:row>193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889" r:id="rId74" name="Scroll Bar 18689">
              <controlPr defaultSize="0" autoPict="0">
                <anchor moveWithCells="1" sizeWithCells="1">
                  <from>
                    <xdr:col>2</xdr:col>
                    <xdr:colOff>66675</xdr:colOff>
                    <xdr:row>194</xdr:row>
                    <xdr:rowOff>0</xdr:rowOff>
                  </from>
                  <to>
                    <xdr:col>2</xdr:col>
                    <xdr:colOff>1400175</xdr:colOff>
                    <xdr:row>194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890" r:id="rId75" name="Scroll Bar 18690">
              <controlPr defaultSize="0" autoPict="0">
                <anchor moveWithCells="1" sizeWithCells="1">
                  <from>
                    <xdr:col>4</xdr:col>
                    <xdr:colOff>1095375</xdr:colOff>
                    <xdr:row>190</xdr:row>
                    <xdr:rowOff>0</xdr:rowOff>
                  </from>
                  <to>
                    <xdr:col>5</xdr:col>
                    <xdr:colOff>1419225</xdr:colOff>
                    <xdr:row>190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891" r:id="rId76" name="Scroll Bar 18691">
              <controlPr defaultSize="0" autoPict="0">
                <anchor moveWithCells="1" sizeWithCells="1">
                  <from>
                    <xdr:col>4</xdr:col>
                    <xdr:colOff>1095375</xdr:colOff>
                    <xdr:row>190</xdr:row>
                    <xdr:rowOff>152400</xdr:rowOff>
                  </from>
                  <to>
                    <xdr:col>5</xdr:col>
                    <xdr:colOff>1419225</xdr:colOff>
                    <xdr:row>191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892" r:id="rId77" name="Scroll Bar 18692">
              <controlPr defaultSize="0" autoPict="0">
                <anchor moveWithCells="1" sizeWithCells="1">
                  <from>
                    <xdr:col>4</xdr:col>
                    <xdr:colOff>1095375</xdr:colOff>
                    <xdr:row>191</xdr:row>
                    <xdr:rowOff>152400</xdr:rowOff>
                  </from>
                  <to>
                    <xdr:col>5</xdr:col>
                    <xdr:colOff>1419225</xdr:colOff>
                    <xdr:row>192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893" r:id="rId78" name="Scroll Bar 18693">
              <controlPr defaultSize="0" autoPict="0">
                <anchor moveWithCells="1" sizeWithCells="1">
                  <from>
                    <xdr:col>4</xdr:col>
                    <xdr:colOff>1095375</xdr:colOff>
                    <xdr:row>192</xdr:row>
                    <xdr:rowOff>142875</xdr:rowOff>
                  </from>
                  <to>
                    <xdr:col>5</xdr:col>
                    <xdr:colOff>1419225</xdr:colOff>
                    <xdr:row>193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894" r:id="rId79" name="Scroll Bar 18694">
              <controlPr defaultSize="0" autoPict="0">
                <anchor moveWithCells="1" sizeWithCells="1">
                  <from>
                    <xdr:col>4</xdr:col>
                    <xdr:colOff>1095375</xdr:colOff>
                    <xdr:row>193</xdr:row>
                    <xdr:rowOff>152400</xdr:rowOff>
                  </from>
                  <to>
                    <xdr:col>5</xdr:col>
                    <xdr:colOff>1419225</xdr:colOff>
                    <xdr:row>194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0" name="Scroll Bar 10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1" name="Scroll Bar 11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2" name="Scroll Bar 12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3" name="Scroll Bar 13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4" name="Scroll Bar 14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5" name="Scroll Bar 15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6" name="Scroll Bar 16">
              <controlPr defaultSize="0" autoPict="0">
                <anchor moveWithCells="1" sizeWithCells="1">
                  <from>
                    <xdr:col>5</xdr:col>
                    <xdr:colOff>133350</xdr:colOff>
                    <xdr:row>0</xdr:row>
                    <xdr:rowOff>0</xdr:rowOff>
                  </from>
                  <to>
                    <xdr:col>5</xdr:col>
                    <xdr:colOff>133350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7" name="Scroll Bar 19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88" name="Scroll Bar 20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9" name="Scroll Bar 21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0" name="Scroll Bar 22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91" name="Scroll Bar 23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2" name="Scroll Bar 24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93" name="Scroll Bar 25">
              <controlPr defaultSize="0" autoPict="0">
                <anchor moveWithCells="1" sizeWithCells="1">
                  <from>
                    <xdr:col>2</xdr:col>
                    <xdr:colOff>171450</xdr:colOff>
                    <xdr:row>0</xdr:row>
                    <xdr:rowOff>0</xdr:rowOff>
                  </from>
                  <to>
                    <xdr:col>2</xdr:col>
                    <xdr:colOff>171450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4" name="Scroll Bar 27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95" name="Scroll Bar 28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6" name="Scroll Bar 29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7" name="Scroll Bar 30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98" name="Scroll Bar 31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99" name="Scroll Bar 32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00" name="Scroll Bar 33">
              <controlPr defaultSize="0" autoPict="0">
                <anchor moveWithCells="1" sizeWithCells="1">
                  <from>
                    <xdr:col>5</xdr:col>
                    <xdr:colOff>133350</xdr:colOff>
                    <xdr:row>0</xdr:row>
                    <xdr:rowOff>0</xdr:rowOff>
                  </from>
                  <to>
                    <xdr:col>5</xdr:col>
                    <xdr:colOff>133350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01" name="Scroll Bar 37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02" name="Scroll Bar 38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03" name="Scroll Bar 39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04" name="Scroll Bar 40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05" name="Scroll Bar 41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06" name="Scroll Bar 42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07" name="Scroll Bar 43">
              <controlPr defaultSize="0" autoPict="0">
                <anchor moveWithCells="1" sizeWithCells="1">
                  <from>
                    <xdr:col>2</xdr:col>
                    <xdr:colOff>171450</xdr:colOff>
                    <xdr:row>0</xdr:row>
                    <xdr:rowOff>0</xdr:rowOff>
                  </from>
                  <to>
                    <xdr:col>2</xdr:col>
                    <xdr:colOff>171450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108" name="Scroll Bar 45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09" name="Scroll Bar 46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110" name="Scroll Bar 47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111" name="Scroll Bar 48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12" name="Scroll Bar 49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13" name="Scroll Bar 50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14" name="Scroll Bar 51">
              <controlPr defaultSize="0" autoPict="0">
                <anchor moveWithCells="1" sizeWithCells="1">
                  <from>
                    <xdr:col>5</xdr:col>
                    <xdr:colOff>133350</xdr:colOff>
                    <xdr:row>0</xdr:row>
                    <xdr:rowOff>0</xdr:rowOff>
                  </from>
                  <to>
                    <xdr:col>5</xdr:col>
                    <xdr:colOff>133350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115" name="Scroll Bar 71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116" name="Scroll Bar 72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17" name="Scroll Bar 73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8" name="Scroll Bar 74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119" name="Scroll Bar 75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0" name="Scroll Bar 76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121" name="Scroll Bar 77">
              <controlPr defaultSize="0" autoPict="0">
                <anchor moveWithCells="1" sizeWithCells="1">
                  <from>
                    <xdr:col>2</xdr:col>
                    <xdr:colOff>171450</xdr:colOff>
                    <xdr:row>0</xdr:row>
                    <xdr:rowOff>0</xdr:rowOff>
                  </from>
                  <to>
                    <xdr:col>2</xdr:col>
                    <xdr:colOff>171450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122" name="Scroll Bar 79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123" name="Scroll Bar 80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124" name="Scroll Bar 81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125" name="Scroll Bar 82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126" name="Scroll Bar 83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127" name="Scroll Bar 84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128" name="Scroll Bar 85">
              <controlPr defaultSize="0" autoPict="0">
                <anchor moveWithCells="1" sizeWithCells="1">
                  <from>
                    <xdr:col>5</xdr:col>
                    <xdr:colOff>133350</xdr:colOff>
                    <xdr:row>0</xdr:row>
                    <xdr:rowOff>0</xdr:rowOff>
                  </from>
                  <to>
                    <xdr:col>5</xdr:col>
                    <xdr:colOff>133350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9" name="Scroll Bar 112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0" name="Scroll Bar 113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31" name="Scroll Bar 114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32" name="Scroll Bar 115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33" name="Scroll Bar 116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34" name="Scroll Bar 117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35" name="Scroll Bar 118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36" name="Scroll Bar 119">
              <controlPr defaultSize="0" autoPict="0">
                <anchor moveWithCells="1" sizeWithCells="1">
                  <from>
                    <xdr:col>2</xdr:col>
                    <xdr:colOff>171450</xdr:colOff>
                    <xdr:row>0</xdr:row>
                    <xdr:rowOff>0</xdr:rowOff>
                  </from>
                  <to>
                    <xdr:col>2</xdr:col>
                    <xdr:colOff>171450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37" name="Scroll Bar 123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38" name="Scroll Bar 124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39" name="Scroll Bar 125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40" name="Scroll Bar 126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41" name="Scroll Bar 127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42" name="Scroll Bar 128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43" name="Scroll Bar 129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44" name="Scroll Bar 130">
              <controlPr defaultSize="0" autoPict="0">
                <anchor moveWithCells="1" sizeWithCells="1">
                  <from>
                    <xdr:col>5</xdr:col>
                    <xdr:colOff>133350</xdr:colOff>
                    <xdr:row>0</xdr:row>
                    <xdr:rowOff>0</xdr:rowOff>
                  </from>
                  <to>
                    <xdr:col>5</xdr:col>
                    <xdr:colOff>133350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45" name="Scroll Bar 136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46" name="Scroll Bar 137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47" name="Scroll Bar 138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48" name="Scroll Bar 139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49" name="Scroll Bar 140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50" name="Scroll Bar 141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51" name="Scroll Bar 142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52" name="Scroll Bar 143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53" name="Scroll Bar 144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54" name="Scroll Bar 145">
              <controlPr defaultSize="0" autoPict="0">
                <anchor moveWithCells="1" sizeWithCells="1">
                  <from>
                    <xdr:col>2</xdr:col>
                    <xdr:colOff>171450</xdr:colOff>
                    <xdr:row>0</xdr:row>
                    <xdr:rowOff>0</xdr:rowOff>
                  </from>
                  <to>
                    <xdr:col>2</xdr:col>
                    <xdr:colOff>171450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55" name="Scroll Bar 147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56" name="Scroll Bar 148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57" name="Scroll Bar 149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58" name="Scroll Bar 150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59" name="Scroll Bar 151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60" name="Scroll Bar 152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61" name="Scroll Bar 153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62" name="Scroll Bar 154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63" name="Scroll Bar 155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64" name="Scroll Bar 156">
              <controlPr defaultSize="0" autoPict="0">
                <anchor moveWithCells="1" sizeWithCells="1">
                  <from>
                    <xdr:col>5</xdr:col>
                    <xdr:colOff>133350</xdr:colOff>
                    <xdr:row>0</xdr:row>
                    <xdr:rowOff>0</xdr:rowOff>
                  </from>
                  <to>
                    <xdr:col>5</xdr:col>
                    <xdr:colOff>133350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65" name="Scroll Bar 159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66" name="Scroll Bar 160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67" name="Scroll Bar 161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68" name="Scroll Bar 162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69" name="Scroll Bar 163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70" name="Scroll Bar 164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71" name="Scroll Bar 165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172" name="Scroll Bar 166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173" name="Scroll Bar 167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174" name="Scroll Bar 168">
              <controlPr defaultSize="0" autoPict="0">
                <anchor moveWithCells="1" sizeWithCells="1">
                  <from>
                    <xdr:col>5</xdr:col>
                    <xdr:colOff>133350</xdr:colOff>
                    <xdr:row>0</xdr:row>
                    <xdr:rowOff>0</xdr:rowOff>
                  </from>
                  <to>
                    <xdr:col>5</xdr:col>
                    <xdr:colOff>133350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75" name="Scroll Bar 176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76" name="Scroll Bar 177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77" name="Scroll Bar 178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78" name="Scroll Bar 179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79" name="Scroll Bar 180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80" name="Scroll Bar 181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81" name="Scroll Bar 182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82" name="Scroll Bar 183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83" name="Scroll Bar 184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84" name="Scroll Bar 185">
              <controlPr defaultSize="0" autoPict="0">
                <anchor moveWithCells="1" sizeWithCells="1">
                  <from>
                    <xdr:col>2</xdr:col>
                    <xdr:colOff>171450</xdr:colOff>
                    <xdr:row>0</xdr:row>
                    <xdr:rowOff>0</xdr:rowOff>
                  </from>
                  <to>
                    <xdr:col>2</xdr:col>
                    <xdr:colOff>171450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85" name="Scroll Bar 187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86" name="Scroll Bar 188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87" name="Scroll Bar 189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88" name="Scroll Bar 190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89" name="Scroll Bar 191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90" name="Scroll Bar 192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91" name="Scroll Bar 193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92" name="Scroll Bar 194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93" name="Scroll Bar 195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94" name="Scroll Bar 196">
              <controlPr defaultSize="0" autoPict="0">
                <anchor moveWithCells="1" sizeWithCells="1">
                  <from>
                    <xdr:col>5</xdr:col>
                    <xdr:colOff>133350</xdr:colOff>
                    <xdr:row>0</xdr:row>
                    <xdr:rowOff>0</xdr:rowOff>
                  </from>
                  <to>
                    <xdr:col>5</xdr:col>
                    <xdr:colOff>133350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95" name="Scroll Bar 206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96" name="Scroll Bar 207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97" name="Scroll Bar 208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98" name="Scroll Bar 209">
              <controlPr defaultSize="0" autoPict="0">
                <anchor moveWithCells="1" sizeWithCells="1">
                  <from>
                    <xdr:col>5</xdr:col>
                    <xdr:colOff>123825</xdr:colOff>
                    <xdr:row>0</xdr:row>
                    <xdr:rowOff>0</xdr:rowOff>
                  </from>
                  <to>
                    <xdr:col>5</xdr:col>
                    <xdr:colOff>123825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99" name="Scroll Bar 236">
              <controlPr defaultSize="0" autoPict="0">
                <anchor moveWithCells="1" sizeWithCells="1">
                  <from>
                    <xdr:col>2</xdr:col>
                    <xdr:colOff>161925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200" name="Scroll Bar 237">
              <controlPr defaultSize="0" autoPict="0">
                <anchor moveWithCells="1" sizeWithCells="1">
                  <from>
                    <xdr:col>2</xdr:col>
                    <xdr:colOff>161925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201" name="Scroll Bar 252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202" name="Scroll Bar 253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203" name="Scroll Bar 254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204" name="Scroll Bar 255">
              <controlPr defaultSize="0" autoPict="0">
                <anchor moveWithCells="1" sizeWithCells="1">
                  <from>
                    <xdr:col>2</xdr:col>
                    <xdr:colOff>161925</xdr:colOff>
                    <xdr:row>0</xdr:row>
                    <xdr:rowOff>0</xdr:rowOff>
                  </from>
                  <to>
                    <xdr:col>2</xdr:col>
                    <xdr:colOff>161925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05" name="Scroll Bar 311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06" name="Scroll Bar 312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07" name="Scroll Bar 313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08" name="Scroll Bar 314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09" name="Scroll Bar 315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10" name="Scroll Bar 316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11" name="Scroll Bar 317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12" name="Scroll Bar 318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13" name="Scroll Bar 319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14" name="Scroll Bar 320">
              <controlPr defaultSize="0" autoPict="0">
                <anchor moveWithCells="1" sizeWithCells="1">
                  <from>
                    <xdr:col>2</xdr:col>
                    <xdr:colOff>171450</xdr:colOff>
                    <xdr:row>0</xdr:row>
                    <xdr:rowOff>0</xdr:rowOff>
                  </from>
                  <to>
                    <xdr:col>2</xdr:col>
                    <xdr:colOff>171450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15" name="Scroll Bar 322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16" name="Scroll Bar 323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17" name="Scroll Bar 324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18" name="Scroll Bar 325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19" name="Scroll Bar 326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20" name="Scroll Bar 327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21" name="Scroll Bar 328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22" name="Scroll Bar 329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23" name="Scroll Bar 330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24" name="Scroll Bar 331">
              <controlPr defaultSize="0" autoPict="0">
                <anchor moveWithCells="1" sizeWithCells="1">
                  <from>
                    <xdr:col>5</xdr:col>
                    <xdr:colOff>133350</xdr:colOff>
                    <xdr:row>0</xdr:row>
                    <xdr:rowOff>0</xdr:rowOff>
                  </from>
                  <to>
                    <xdr:col>5</xdr:col>
                    <xdr:colOff>133350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225" name="Scroll Bar 384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226" name="Scroll Bar 385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227" name="Scroll Bar 386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228" name="Scroll Bar 387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229" name="Scroll Bar 388">
              <controlPr defaultSize="0" autoPict="0">
                <anchor moveWithCells="1" sizeWithCells="1">
                  <from>
                    <xdr:col>2</xdr:col>
                    <xdr:colOff>171450</xdr:colOff>
                    <xdr:row>0</xdr:row>
                    <xdr:rowOff>0</xdr:rowOff>
                  </from>
                  <to>
                    <xdr:col>2</xdr:col>
                    <xdr:colOff>171450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230" name="Scroll Bar 395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231" name="Scroll Bar 396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232" name="Scroll Bar 397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233" name="Scroll Bar 398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234" name="Scroll Bar 399">
              <controlPr defaultSize="0" autoPict="0">
                <anchor moveWithCells="1" sizeWithCells="1">
                  <from>
                    <xdr:col>5</xdr:col>
                    <xdr:colOff>133350</xdr:colOff>
                    <xdr:row>0</xdr:row>
                    <xdr:rowOff>0</xdr:rowOff>
                  </from>
                  <to>
                    <xdr:col>5</xdr:col>
                    <xdr:colOff>133350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235" name="Scroll Bar 409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236" name="Scroll Bar 410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237" name="Scroll Bar 411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238" name="Scroll Bar 412">
              <controlPr defaultSize="0" autoPict="0">
                <anchor moveWithCells="1" sizeWithCells="1">
                  <from>
                    <xdr:col>2</xdr:col>
                    <xdr:colOff>171450</xdr:colOff>
                    <xdr:row>0</xdr:row>
                    <xdr:rowOff>0</xdr:rowOff>
                  </from>
                  <to>
                    <xdr:col>2</xdr:col>
                    <xdr:colOff>171450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239" name="Scroll Bar 418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240" name="Scroll Bar 419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241" name="Scroll Bar 420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242" name="Scroll Bar 421">
              <controlPr defaultSize="0" autoPict="0">
                <anchor moveWithCells="1" sizeWithCells="1">
                  <from>
                    <xdr:col>5</xdr:col>
                    <xdr:colOff>133350</xdr:colOff>
                    <xdr:row>0</xdr:row>
                    <xdr:rowOff>0</xdr:rowOff>
                  </from>
                  <to>
                    <xdr:col>5</xdr:col>
                    <xdr:colOff>133350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243" name="Scroll Bar 430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244" name="Scroll Bar 431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245" name="Scroll Bar 432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246" name="Scroll Bar 433">
              <controlPr defaultSize="0" autoPict="0">
                <anchor moveWithCells="1" sizeWithCells="1">
                  <from>
                    <xdr:col>2</xdr:col>
                    <xdr:colOff>171450</xdr:colOff>
                    <xdr:row>0</xdr:row>
                    <xdr:rowOff>0</xdr:rowOff>
                  </from>
                  <to>
                    <xdr:col>2</xdr:col>
                    <xdr:colOff>171450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247" name="Scroll Bar 434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248" name="Scroll Bar 435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249" name="Scroll Bar 436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250" name="Scroll Bar 437">
              <controlPr defaultSize="0" autoPict="0">
                <anchor moveWithCells="1" sizeWithCells="1">
                  <from>
                    <xdr:col>5</xdr:col>
                    <xdr:colOff>133350</xdr:colOff>
                    <xdr:row>0</xdr:row>
                    <xdr:rowOff>0</xdr:rowOff>
                  </from>
                  <to>
                    <xdr:col>5</xdr:col>
                    <xdr:colOff>133350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251" name="Scroll Bar 471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252" name="Scroll Bar 472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253" name="Scroll Bar 473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254" name="Scroll Bar 474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255" name="Scroll Bar 475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256" name="Scroll Bar 476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257" name="Scroll Bar 477">
              <controlPr defaultSize="0" autoPict="0">
                <anchor moveWithCells="1" sizeWithCells="1">
                  <from>
                    <xdr:col>2</xdr:col>
                    <xdr:colOff>171450</xdr:colOff>
                    <xdr:row>0</xdr:row>
                    <xdr:rowOff>0</xdr:rowOff>
                  </from>
                  <to>
                    <xdr:col>2</xdr:col>
                    <xdr:colOff>171450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258" name="Scroll Bar 479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259" name="Scroll Bar 480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260" name="Scroll Bar 481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261" name="Scroll Bar 482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262" name="Scroll Bar 483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263" name="Scroll Bar 484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264" name="Scroll Bar 485">
              <controlPr defaultSize="0" autoPict="0">
                <anchor moveWithCells="1" sizeWithCells="1">
                  <from>
                    <xdr:col>5</xdr:col>
                    <xdr:colOff>133350</xdr:colOff>
                    <xdr:row>0</xdr:row>
                    <xdr:rowOff>0</xdr:rowOff>
                  </from>
                  <to>
                    <xdr:col>5</xdr:col>
                    <xdr:colOff>133350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265" name="Scroll Bar 488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266" name="Scroll Bar 489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267" name="Scroll Bar 490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268" name="Scroll Bar 491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269" name="Scroll Bar 492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270" name="Scroll Bar 493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271" name="Scroll Bar 494">
              <controlPr defaultSize="0" autoPict="0">
                <anchor moveWithCells="1" sizeWithCells="1">
                  <from>
                    <xdr:col>2</xdr:col>
                    <xdr:colOff>171450</xdr:colOff>
                    <xdr:row>0</xdr:row>
                    <xdr:rowOff>0</xdr:rowOff>
                  </from>
                  <to>
                    <xdr:col>2</xdr:col>
                    <xdr:colOff>171450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272" name="Scroll Bar 496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273" name="Scroll Bar 497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274" name="Scroll Bar 498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275" name="Scroll Bar 499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276" name="Scroll Bar 500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277" name="Scroll Bar 501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278" name="Scroll Bar 502">
              <controlPr defaultSize="0" autoPict="0">
                <anchor moveWithCells="1" sizeWithCells="1">
                  <from>
                    <xdr:col>5</xdr:col>
                    <xdr:colOff>133350</xdr:colOff>
                    <xdr:row>0</xdr:row>
                    <xdr:rowOff>0</xdr:rowOff>
                  </from>
                  <to>
                    <xdr:col>5</xdr:col>
                    <xdr:colOff>133350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279" name="Scroll Bar 505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280" name="Scroll Bar 506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281" name="Scroll Bar 507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" r:id="rId282" name="Scroll Bar 508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" r:id="rId283" name="Scroll Bar 509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" r:id="rId284" name="Scroll Bar 510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" r:id="rId285" name="Scroll Bar 511">
              <controlPr defaultSize="0" autoPict="0">
                <anchor moveWithCells="1" sizeWithCells="1">
                  <from>
                    <xdr:col>2</xdr:col>
                    <xdr:colOff>171450</xdr:colOff>
                    <xdr:row>0</xdr:row>
                    <xdr:rowOff>0</xdr:rowOff>
                  </from>
                  <to>
                    <xdr:col>2</xdr:col>
                    <xdr:colOff>171450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" r:id="rId286" name="Scroll Bar 522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" r:id="rId287" name="Scroll Bar 523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" r:id="rId288" name="Scroll Bar 524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" r:id="rId289" name="Scroll Bar 525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" r:id="rId290" name="Scroll Bar 526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" r:id="rId291" name="Scroll Bar 527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" r:id="rId292" name="Scroll Bar 528">
              <controlPr defaultSize="0" autoPict="0">
                <anchor moveWithCells="1" sizeWithCells="1">
                  <from>
                    <xdr:col>2</xdr:col>
                    <xdr:colOff>171450</xdr:colOff>
                    <xdr:row>0</xdr:row>
                    <xdr:rowOff>0</xdr:rowOff>
                  </from>
                  <to>
                    <xdr:col>2</xdr:col>
                    <xdr:colOff>171450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" r:id="rId293" name="Scroll Bar 542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" r:id="rId294" name="Scroll Bar 543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" r:id="rId295" name="Scroll Bar 544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" r:id="rId296" name="Scroll Bar 545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" r:id="rId297" name="Scroll Bar 546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" r:id="rId298" name="Scroll Bar 547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" r:id="rId299" name="Scroll Bar 548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" r:id="rId300" name="Scroll Bar 549">
              <controlPr defaultSize="0" autoPict="0">
                <anchor moveWithCells="1" sizeWithCells="1">
                  <from>
                    <xdr:col>2</xdr:col>
                    <xdr:colOff>171450</xdr:colOff>
                    <xdr:row>0</xdr:row>
                    <xdr:rowOff>0</xdr:rowOff>
                  </from>
                  <to>
                    <xdr:col>2</xdr:col>
                    <xdr:colOff>171450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" r:id="rId301" name="Scroll Bar 562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" r:id="rId302" name="Scroll Bar 563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" r:id="rId303" name="Scroll Bar 564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" r:id="rId304" name="Scroll Bar 565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" r:id="rId305" name="Scroll Bar 566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" r:id="rId306" name="Scroll Bar 567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" r:id="rId307" name="Scroll Bar 568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" r:id="rId308" name="Scroll Bar 569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" r:id="rId309" name="Scroll Bar 570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" r:id="rId310" name="Scroll Bar 571">
              <controlPr defaultSize="0" autoPict="0">
                <anchor moveWithCells="1" sizeWithCells="1">
                  <from>
                    <xdr:col>2</xdr:col>
                    <xdr:colOff>171450</xdr:colOff>
                    <xdr:row>0</xdr:row>
                    <xdr:rowOff>0</xdr:rowOff>
                  </from>
                  <to>
                    <xdr:col>2</xdr:col>
                    <xdr:colOff>171450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" r:id="rId311" name="Scroll Bar 602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" r:id="rId312" name="Scroll Bar 603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" r:id="rId313" name="Scroll Bar 604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9" r:id="rId314" name="Scroll Bar 605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0" r:id="rId315" name="Scroll Bar 606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1" r:id="rId316" name="Scroll Bar 607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2" r:id="rId317" name="Scroll Bar 608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3" r:id="rId318" name="Scroll Bar 609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4" r:id="rId319" name="Scroll Bar 610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5" r:id="rId320" name="Scroll Bar 611">
              <controlPr defaultSize="0" autoPict="0">
                <anchor moveWithCells="1" sizeWithCells="1">
                  <from>
                    <xdr:col>2</xdr:col>
                    <xdr:colOff>171450</xdr:colOff>
                    <xdr:row>0</xdr:row>
                    <xdr:rowOff>0</xdr:rowOff>
                  </from>
                  <to>
                    <xdr:col>2</xdr:col>
                    <xdr:colOff>171450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" r:id="rId321" name="Scroll Bar 627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" r:id="rId322" name="Scroll Bar 628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" r:id="rId323" name="Scroll Bar 629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" r:id="rId324" name="Scroll Bar 630">
              <controlPr defaultSize="0" autoPict="0">
                <anchor moveWithCells="1" sizeWithCells="1">
                  <from>
                    <xdr:col>2</xdr:col>
                    <xdr:colOff>161925</xdr:colOff>
                    <xdr:row>0</xdr:row>
                    <xdr:rowOff>0</xdr:rowOff>
                  </from>
                  <to>
                    <xdr:col>2</xdr:col>
                    <xdr:colOff>161925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" r:id="rId325" name="Scroll Bar 632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" r:id="rId326" name="Scroll Bar 633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" r:id="rId327" name="Scroll Bar 634">
              <controlPr defaultSize="0" autoPict="0">
                <anchor moveWithCells="1" sizeWithCells="1">
                  <from>
                    <xdr:col>5</xdr:col>
                    <xdr:colOff>1314450</xdr:colOff>
                    <xdr:row>0</xdr:row>
                    <xdr:rowOff>0</xdr:rowOff>
                  </from>
                  <to>
                    <xdr:col>5</xdr:col>
                    <xdr:colOff>1314450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" r:id="rId328" name="Scroll Bar 635">
              <controlPr defaultSize="0" autoPict="0">
                <anchor moveWithCells="1" sizeWithCells="1">
                  <from>
                    <xdr:col>5</xdr:col>
                    <xdr:colOff>123825</xdr:colOff>
                    <xdr:row>0</xdr:row>
                    <xdr:rowOff>0</xdr:rowOff>
                  </from>
                  <to>
                    <xdr:col>5</xdr:col>
                    <xdr:colOff>123825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8" r:id="rId329" name="Scroll Bar 654">
              <controlPr defaultSize="0" autoPict="0">
                <anchor moveWithCells="1" sizeWithCells="1">
                  <from>
                    <xdr:col>2</xdr:col>
                    <xdr:colOff>161925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" r:id="rId330" name="Scroll Bar 655">
              <controlPr defaultSize="0" autoPict="0">
                <anchor moveWithCells="1" sizeWithCells="1">
                  <from>
                    <xdr:col>2</xdr:col>
                    <xdr:colOff>161925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" r:id="rId331" name="Scroll Bar 665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332" name="Scroll Bar 666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333" name="Scroll Bar 667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334" name="Scroll Bar 668">
              <controlPr defaultSize="0" autoPict="0">
                <anchor moveWithCells="1" sizeWithCells="1">
                  <from>
                    <xdr:col>2</xdr:col>
                    <xdr:colOff>161925</xdr:colOff>
                    <xdr:row>0</xdr:row>
                    <xdr:rowOff>0</xdr:rowOff>
                  </from>
                  <to>
                    <xdr:col>2</xdr:col>
                    <xdr:colOff>161925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335" name="Scroll Bar 678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336" name="Scroll Bar 679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337" name="Scroll Bar 680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338" name="Scroll Bar 681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339" name="Scroll Bar 682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340" name="Scroll Bar 683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341" name="Scroll Bar 684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342" name="Scroll Bar 685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0" r:id="rId343" name="Scroll Bar 686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1" r:id="rId344" name="Scroll Bar 687">
              <controlPr defaultSize="0" autoPict="0">
                <anchor moveWithCells="1" sizeWithCells="1">
                  <from>
                    <xdr:col>2</xdr:col>
                    <xdr:colOff>171450</xdr:colOff>
                    <xdr:row>0</xdr:row>
                    <xdr:rowOff>0</xdr:rowOff>
                  </from>
                  <to>
                    <xdr:col>2</xdr:col>
                    <xdr:colOff>171450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45" name="Scroll Bar 701">
              <controlPr defaultSize="0" autoPict="0">
                <anchor moveWithCells="1" sizeWithCells="1">
                  <from>
                    <xdr:col>2</xdr:col>
                    <xdr:colOff>171450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46" name="Scroll Bar 702">
              <controlPr defaultSize="0" autoPict="0">
                <anchor moveWithCells="1" sizeWithCells="1">
                  <from>
                    <xdr:col>2</xdr:col>
                    <xdr:colOff>171450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47" name="Scroll Bar 703">
              <controlPr defaultSize="0" autoPict="0">
                <anchor moveWithCells="1" sizeWithCells="1">
                  <from>
                    <xdr:col>2</xdr:col>
                    <xdr:colOff>171450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48" name="Scroll Bar 704">
              <controlPr defaultSize="0" autoPict="0">
                <anchor moveWithCells="1" sizeWithCells="1">
                  <from>
                    <xdr:col>2</xdr:col>
                    <xdr:colOff>171450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9" name="Scroll Bar 705">
              <controlPr defaultSize="0" autoPict="0">
                <anchor moveWithCells="1" sizeWithCells="1">
                  <from>
                    <xdr:col>2</xdr:col>
                    <xdr:colOff>171450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350" name="Scroll Bar 714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351" name="Scroll Bar 715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352" name="Scroll Bar 716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353" name="Scroll Bar 717">
              <controlPr defaultSize="0" autoPict="0">
                <anchor moveWithCells="1" sizeWithCells="1">
                  <from>
                    <xdr:col>2</xdr:col>
                    <xdr:colOff>171450</xdr:colOff>
                    <xdr:row>0</xdr:row>
                    <xdr:rowOff>0</xdr:rowOff>
                  </from>
                  <to>
                    <xdr:col>2</xdr:col>
                    <xdr:colOff>171450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" r:id="rId354" name="Scroll Bar 726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" r:id="rId355" name="Scroll Bar 727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356" name="Scroll Bar 728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357" name="Scroll Bar 729">
              <controlPr defaultSize="0" autoPict="0">
                <anchor moveWithCells="1" sizeWithCells="1">
                  <from>
                    <xdr:col>2</xdr:col>
                    <xdr:colOff>171450</xdr:colOff>
                    <xdr:row>0</xdr:row>
                    <xdr:rowOff>0</xdr:rowOff>
                  </from>
                  <to>
                    <xdr:col>2</xdr:col>
                    <xdr:colOff>171450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358" name="Scroll Bar 2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59" name="Scroll Bar 3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360" name="Scroll Bar 4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361" name="Scroll Bar 5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362" name="Scroll Bar 6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363" name="Scroll Bar 7">
              <controlPr defaultSize="0" autoPict="0">
                <anchor moveWithCells="1" sizeWithCells="1">
                  <from>
                    <xdr:col>2</xdr:col>
                    <xdr:colOff>1295400</xdr:colOff>
                    <xdr:row>0</xdr:row>
                    <xdr:rowOff>0</xdr:rowOff>
                  </from>
                  <to>
                    <xdr:col>2</xdr:col>
                    <xdr:colOff>1295400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364" name="Scroll Bar 8">
              <controlPr defaultSize="0" autoPict="0">
                <anchor moveWithCells="1" sizeWithCells="1">
                  <from>
                    <xdr:col>2</xdr:col>
                    <xdr:colOff>171450</xdr:colOff>
                    <xdr:row>0</xdr:row>
                    <xdr:rowOff>0</xdr:rowOff>
                  </from>
                  <to>
                    <xdr:col>2</xdr:col>
                    <xdr:colOff>171450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48" r:id="rId365" name="Scroll Bar 19048">
              <controlPr defaultSize="0" autoPict="0">
                <anchor moveWithCells="1" sizeWithCells="1">
                  <from>
                    <xdr:col>5</xdr:col>
                    <xdr:colOff>295275</xdr:colOff>
                    <xdr:row>51</xdr:row>
                    <xdr:rowOff>19050</xdr:rowOff>
                  </from>
                  <to>
                    <xdr:col>5</xdr:col>
                    <xdr:colOff>1343025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49" r:id="rId366" name="Scroll Bar 19049">
              <controlPr defaultSize="0" autoPict="0">
                <anchor moveWithCells="1" sizeWithCells="1">
                  <from>
                    <xdr:col>5</xdr:col>
                    <xdr:colOff>295275</xdr:colOff>
                    <xdr:row>52</xdr:row>
                    <xdr:rowOff>19050</xdr:rowOff>
                  </from>
                  <to>
                    <xdr:col>5</xdr:col>
                    <xdr:colOff>1343025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50" r:id="rId367" name="Scroll Bar 19050">
              <controlPr defaultSize="0" autoPict="0">
                <anchor moveWithCells="1" sizeWithCells="1">
                  <from>
                    <xdr:col>5</xdr:col>
                    <xdr:colOff>295275</xdr:colOff>
                    <xdr:row>53</xdr:row>
                    <xdr:rowOff>19050</xdr:rowOff>
                  </from>
                  <to>
                    <xdr:col>5</xdr:col>
                    <xdr:colOff>1343025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51" r:id="rId368" name="Scroll Bar 19051">
              <controlPr defaultSize="0" autoPict="0">
                <anchor moveWithCells="1" sizeWithCells="1">
                  <from>
                    <xdr:col>5</xdr:col>
                    <xdr:colOff>295275</xdr:colOff>
                    <xdr:row>54</xdr:row>
                    <xdr:rowOff>19050</xdr:rowOff>
                  </from>
                  <to>
                    <xdr:col>5</xdr:col>
                    <xdr:colOff>1343025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52" r:id="rId369" name="Scroll Bar 19052">
              <controlPr defaultSize="0" autoPict="0">
                <anchor moveWithCells="1" sizeWithCells="1">
                  <from>
                    <xdr:col>5</xdr:col>
                    <xdr:colOff>295275</xdr:colOff>
                    <xdr:row>55</xdr:row>
                    <xdr:rowOff>19050</xdr:rowOff>
                  </from>
                  <to>
                    <xdr:col>5</xdr:col>
                    <xdr:colOff>1343025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53" r:id="rId370" name="Scroll Bar 19053">
              <controlPr defaultSize="0" autoPict="0">
                <anchor moveWithCells="1" sizeWithCells="1">
                  <from>
                    <xdr:col>5</xdr:col>
                    <xdr:colOff>295275</xdr:colOff>
                    <xdr:row>56</xdr:row>
                    <xdr:rowOff>19050</xdr:rowOff>
                  </from>
                  <to>
                    <xdr:col>5</xdr:col>
                    <xdr:colOff>1343025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54" r:id="rId371" name="Scroll Bar 19054">
              <controlPr defaultSize="0" autoPict="0">
                <anchor moveWithCells="1" sizeWithCells="1">
                  <from>
                    <xdr:col>5</xdr:col>
                    <xdr:colOff>295275</xdr:colOff>
                    <xdr:row>57</xdr:row>
                    <xdr:rowOff>19050</xdr:rowOff>
                  </from>
                  <to>
                    <xdr:col>5</xdr:col>
                    <xdr:colOff>1343025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55" r:id="rId372" name="Scroll Bar 19055">
              <controlPr defaultSize="0" autoPict="0">
                <anchor moveWithCells="1" sizeWithCells="1">
                  <from>
                    <xdr:col>5</xdr:col>
                    <xdr:colOff>295275</xdr:colOff>
                    <xdr:row>58</xdr:row>
                    <xdr:rowOff>19050</xdr:rowOff>
                  </from>
                  <to>
                    <xdr:col>5</xdr:col>
                    <xdr:colOff>1343025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56" r:id="rId373" name="Scroll Bar 19056">
              <controlPr defaultSize="0" autoPict="0">
                <anchor moveWithCells="1" sizeWithCells="1">
                  <from>
                    <xdr:col>5</xdr:col>
                    <xdr:colOff>295275</xdr:colOff>
                    <xdr:row>59</xdr:row>
                    <xdr:rowOff>19050</xdr:rowOff>
                  </from>
                  <to>
                    <xdr:col>5</xdr:col>
                    <xdr:colOff>1343025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59" r:id="rId374" name="Scroll Bar 19059">
              <controlPr defaultSize="0" autoPict="0">
                <anchor moveWithCells="1" sizeWithCells="1">
                  <from>
                    <xdr:col>5</xdr:col>
                    <xdr:colOff>295275</xdr:colOff>
                    <xdr:row>60</xdr:row>
                    <xdr:rowOff>19050</xdr:rowOff>
                  </from>
                  <to>
                    <xdr:col>5</xdr:col>
                    <xdr:colOff>1343025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60" r:id="rId375" name="Scroll Bar 19060">
              <controlPr defaultSize="0" autoPict="0">
                <anchor moveWithCells="1" sizeWithCells="1">
                  <from>
                    <xdr:col>5</xdr:col>
                    <xdr:colOff>295275</xdr:colOff>
                    <xdr:row>61</xdr:row>
                    <xdr:rowOff>19050</xdr:rowOff>
                  </from>
                  <to>
                    <xdr:col>5</xdr:col>
                    <xdr:colOff>1343025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62" r:id="rId376" name="Scroll Bar 19062">
              <controlPr defaultSize="0" autoPict="0">
                <anchor moveWithCells="1" sizeWithCells="1">
                  <from>
                    <xdr:col>5</xdr:col>
                    <xdr:colOff>295275</xdr:colOff>
                    <xdr:row>62</xdr:row>
                    <xdr:rowOff>19050</xdr:rowOff>
                  </from>
                  <to>
                    <xdr:col>5</xdr:col>
                    <xdr:colOff>1343025</xdr:colOff>
                    <xdr:row>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63" r:id="rId377" name="Scroll Bar 19063">
              <controlPr defaultSize="0" autoPict="0">
                <anchor moveWithCells="1" sizeWithCells="1">
                  <from>
                    <xdr:col>5</xdr:col>
                    <xdr:colOff>295275</xdr:colOff>
                    <xdr:row>63</xdr:row>
                    <xdr:rowOff>19050</xdr:rowOff>
                  </from>
                  <to>
                    <xdr:col>5</xdr:col>
                    <xdr:colOff>1343025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64" r:id="rId378" name="Scroll Bar 19064">
              <controlPr defaultSize="0" autoPict="0">
                <anchor moveWithCells="1" sizeWithCells="1">
                  <from>
                    <xdr:col>5</xdr:col>
                    <xdr:colOff>295275</xdr:colOff>
                    <xdr:row>64</xdr:row>
                    <xdr:rowOff>19050</xdr:rowOff>
                  </from>
                  <to>
                    <xdr:col>5</xdr:col>
                    <xdr:colOff>1343025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65" r:id="rId379" name="Scroll Bar 19065">
              <controlPr defaultSize="0" autoPict="0">
                <anchor moveWithCells="1" sizeWithCells="1">
                  <from>
                    <xdr:col>5</xdr:col>
                    <xdr:colOff>295275</xdr:colOff>
                    <xdr:row>65</xdr:row>
                    <xdr:rowOff>19050</xdr:rowOff>
                  </from>
                  <to>
                    <xdr:col>5</xdr:col>
                    <xdr:colOff>1343025</xdr:colOff>
                    <xdr:row>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66" r:id="rId380" name="Scroll Bar 19066">
              <controlPr defaultSize="0" autoPict="0">
                <anchor moveWithCells="1" sizeWithCells="1">
                  <from>
                    <xdr:col>5</xdr:col>
                    <xdr:colOff>295275</xdr:colOff>
                    <xdr:row>66</xdr:row>
                    <xdr:rowOff>19050</xdr:rowOff>
                  </from>
                  <to>
                    <xdr:col>5</xdr:col>
                    <xdr:colOff>1343025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68" r:id="rId381" name="Scroll Bar 19068">
              <controlPr defaultSize="0" autoPict="0">
                <anchor moveWithCells="1" sizeWithCells="1">
                  <from>
                    <xdr:col>5</xdr:col>
                    <xdr:colOff>295275</xdr:colOff>
                    <xdr:row>69</xdr:row>
                    <xdr:rowOff>19050</xdr:rowOff>
                  </from>
                  <to>
                    <xdr:col>5</xdr:col>
                    <xdr:colOff>1343025</xdr:colOff>
                    <xdr:row>70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69" r:id="rId382" name="Scroll Bar 19069">
              <controlPr defaultSize="0" autoPict="0">
                <anchor moveWithCells="1" sizeWithCells="1">
                  <from>
                    <xdr:col>5</xdr:col>
                    <xdr:colOff>295275</xdr:colOff>
                    <xdr:row>50</xdr:row>
                    <xdr:rowOff>9525</xdr:rowOff>
                  </from>
                  <to>
                    <xdr:col>5</xdr:col>
                    <xdr:colOff>1343025</xdr:colOff>
                    <xdr:row>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71" r:id="rId383" name="Scroll Bar 19071">
              <controlPr defaultSize="0" autoPict="0">
                <anchor moveWithCells="1" sizeWithCells="1">
                  <from>
                    <xdr:col>5</xdr:col>
                    <xdr:colOff>295275</xdr:colOff>
                    <xdr:row>70</xdr:row>
                    <xdr:rowOff>28575</xdr:rowOff>
                  </from>
                  <to>
                    <xdr:col>5</xdr:col>
                    <xdr:colOff>1343025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84" r:id="rId384" name="Scroll Bar 19084">
              <controlPr defaultSize="0" autoPict="0">
                <anchor moveWithCells="1" sizeWithCells="1">
                  <from>
                    <xdr:col>4</xdr:col>
                    <xdr:colOff>1095375</xdr:colOff>
                    <xdr:row>94</xdr:row>
                    <xdr:rowOff>0</xdr:rowOff>
                  </from>
                  <to>
                    <xdr:col>5</xdr:col>
                    <xdr:colOff>1419225</xdr:colOff>
                    <xdr:row>94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85" r:id="rId385" name="Scroll Bar 19085">
              <controlPr defaultSize="0" autoPict="0">
                <anchor moveWithCells="1" sizeWithCells="1">
                  <from>
                    <xdr:col>4</xdr:col>
                    <xdr:colOff>1095375</xdr:colOff>
                    <xdr:row>94</xdr:row>
                    <xdr:rowOff>152400</xdr:rowOff>
                  </from>
                  <to>
                    <xdr:col>5</xdr:col>
                    <xdr:colOff>1419225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86" r:id="rId386" name="Scroll Bar 19086">
              <controlPr defaultSize="0" autoPict="0">
                <anchor moveWithCells="1" sizeWithCells="1">
                  <from>
                    <xdr:col>4</xdr:col>
                    <xdr:colOff>1095375</xdr:colOff>
                    <xdr:row>95</xdr:row>
                    <xdr:rowOff>152400</xdr:rowOff>
                  </from>
                  <to>
                    <xdr:col>5</xdr:col>
                    <xdr:colOff>1419225</xdr:colOff>
                    <xdr:row>96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87" r:id="rId387" name="Scroll Bar 19087">
              <controlPr defaultSize="0" autoPict="0">
                <anchor moveWithCells="1" sizeWithCells="1">
                  <from>
                    <xdr:col>4</xdr:col>
                    <xdr:colOff>1095375</xdr:colOff>
                    <xdr:row>96</xdr:row>
                    <xdr:rowOff>142875</xdr:rowOff>
                  </from>
                  <to>
                    <xdr:col>5</xdr:col>
                    <xdr:colOff>1419225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88" r:id="rId388" name="Scroll Bar 19088">
              <controlPr defaultSize="0" autoPict="0">
                <anchor moveWithCells="1" sizeWithCells="1">
                  <from>
                    <xdr:col>4</xdr:col>
                    <xdr:colOff>1095375</xdr:colOff>
                    <xdr:row>97</xdr:row>
                    <xdr:rowOff>152400</xdr:rowOff>
                  </from>
                  <to>
                    <xdr:col>5</xdr:col>
                    <xdr:colOff>1419225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89" r:id="rId389" name="Scroll Bar 19089">
              <controlPr defaultSize="0" autoPict="0">
                <anchor moveWithCells="1" sizeWithCells="1">
                  <from>
                    <xdr:col>4</xdr:col>
                    <xdr:colOff>1095375</xdr:colOff>
                    <xdr:row>98</xdr:row>
                    <xdr:rowOff>152400</xdr:rowOff>
                  </from>
                  <to>
                    <xdr:col>5</xdr:col>
                    <xdr:colOff>1419225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93" r:id="rId390" name="Scroll Bar 19093">
              <controlPr defaultSize="0" autoPict="0">
                <anchor moveWithCells="1" sizeWithCells="1">
                  <from>
                    <xdr:col>4</xdr:col>
                    <xdr:colOff>1095375</xdr:colOff>
                    <xdr:row>109</xdr:row>
                    <xdr:rowOff>0</xdr:rowOff>
                  </from>
                  <to>
                    <xdr:col>5</xdr:col>
                    <xdr:colOff>1419225</xdr:colOff>
                    <xdr:row>109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94" r:id="rId391" name="Scroll Bar 19094">
              <controlPr defaultSize="0" autoPict="0">
                <anchor moveWithCells="1" sizeWithCells="1">
                  <from>
                    <xdr:col>4</xdr:col>
                    <xdr:colOff>1095375</xdr:colOff>
                    <xdr:row>109</xdr:row>
                    <xdr:rowOff>152400</xdr:rowOff>
                  </from>
                  <to>
                    <xdr:col>5</xdr:col>
                    <xdr:colOff>1419225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95" r:id="rId392" name="Scroll Bar 19095">
              <controlPr defaultSize="0" autoPict="0">
                <anchor moveWithCells="1" sizeWithCells="1">
                  <from>
                    <xdr:col>4</xdr:col>
                    <xdr:colOff>1095375</xdr:colOff>
                    <xdr:row>110</xdr:row>
                    <xdr:rowOff>152400</xdr:rowOff>
                  </from>
                  <to>
                    <xdr:col>5</xdr:col>
                    <xdr:colOff>1419225</xdr:colOff>
                    <xdr:row>111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96" r:id="rId393" name="Scroll Bar 19096">
              <controlPr defaultSize="0" autoPict="0">
                <anchor moveWithCells="1" sizeWithCells="1">
                  <from>
                    <xdr:col>4</xdr:col>
                    <xdr:colOff>1095375</xdr:colOff>
                    <xdr:row>111</xdr:row>
                    <xdr:rowOff>142875</xdr:rowOff>
                  </from>
                  <to>
                    <xdr:col>5</xdr:col>
                    <xdr:colOff>1419225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97" r:id="rId394" name="Scroll Bar 19097">
              <controlPr defaultSize="0" autoPict="0">
                <anchor moveWithCells="1" sizeWithCells="1">
                  <from>
                    <xdr:col>4</xdr:col>
                    <xdr:colOff>1095375</xdr:colOff>
                    <xdr:row>112</xdr:row>
                    <xdr:rowOff>152400</xdr:rowOff>
                  </from>
                  <to>
                    <xdr:col>5</xdr:col>
                    <xdr:colOff>1419225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98" r:id="rId395" name="Scroll Bar 19098">
              <controlPr defaultSize="0" autoPict="0">
                <anchor moveWithCells="1" sizeWithCells="1">
                  <from>
                    <xdr:col>4</xdr:col>
                    <xdr:colOff>1095375</xdr:colOff>
                    <xdr:row>113</xdr:row>
                    <xdr:rowOff>152400</xdr:rowOff>
                  </from>
                  <to>
                    <xdr:col>5</xdr:col>
                    <xdr:colOff>1419225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42" r:id="rId396" name="Scroll Bar 19142">
              <controlPr defaultSize="0" autoPict="0">
                <anchor moveWithCells="1" sizeWithCells="1">
                  <from>
                    <xdr:col>5</xdr:col>
                    <xdr:colOff>295275</xdr:colOff>
                    <xdr:row>67</xdr:row>
                    <xdr:rowOff>19050</xdr:rowOff>
                  </from>
                  <to>
                    <xdr:col>5</xdr:col>
                    <xdr:colOff>1343025</xdr:colOff>
                    <xdr:row>68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43" r:id="rId397" name="Scroll Bar 19143">
              <controlPr defaultSize="0" autoPict="0">
                <anchor moveWithCells="1" sizeWithCells="1">
                  <from>
                    <xdr:col>5</xdr:col>
                    <xdr:colOff>295275</xdr:colOff>
                    <xdr:row>68</xdr:row>
                    <xdr:rowOff>19050</xdr:rowOff>
                  </from>
                  <to>
                    <xdr:col>5</xdr:col>
                    <xdr:colOff>1343025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44" r:id="rId398" name="Scroll Bar 19144">
              <controlPr defaultSize="0" autoPict="0">
                <anchor moveWithCells="1" sizeWithCells="1">
                  <from>
                    <xdr:col>5</xdr:col>
                    <xdr:colOff>295275</xdr:colOff>
                    <xdr:row>70</xdr:row>
                    <xdr:rowOff>19050</xdr:rowOff>
                  </from>
                  <to>
                    <xdr:col>5</xdr:col>
                    <xdr:colOff>1343025</xdr:colOff>
                    <xdr:row>71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45" r:id="rId399" name="Scroll Bar 19145">
              <controlPr defaultSize="0" autoPict="0">
                <anchor moveWithCells="1" sizeWithCells="1">
                  <from>
                    <xdr:col>5</xdr:col>
                    <xdr:colOff>295275</xdr:colOff>
                    <xdr:row>71</xdr:row>
                    <xdr:rowOff>28575</xdr:rowOff>
                  </from>
                  <to>
                    <xdr:col>5</xdr:col>
                    <xdr:colOff>1343025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46" r:id="rId400" name="Scroll Bar 19146">
              <controlPr defaultSize="0" autoPict="0">
                <anchor moveWithCells="1" sizeWithCells="1">
                  <from>
                    <xdr:col>2</xdr:col>
                    <xdr:colOff>66675</xdr:colOff>
                    <xdr:row>143</xdr:row>
                    <xdr:rowOff>0</xdr:rowOff>
                  </from>
                  <to>
                    <xdr:col>2</xdr:col>
                    <xdr:colOff>1400175</xdr:colOff>
                    <xdr:row>143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47" r:id="rId401" name="Scroll Bar 19147">
              <controlPr defaultSize="0" autoPict="0">
                <anchor moveWithCells="1" sizeWithCells="1">
                  <from>
                    <xdr:col>4</xdr:col>
                    <xdr:colOff>1095375</xdr:colOff>
                    <xdr:row>124</xdr:row>
                    <xdr:rowOff>0</xdr:rowOff>
                  </from>
                  <to>
                    <xdr:col>5</xdr:col>
                    <xdr:colOff>1419225</xdr:colOff>
                    <xdr:row>124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48" r:id="rId402" name="Scroll Bar 19148">
              <controlPr defaultSize="0" autoPict="0">
                <anchor moveWithCells="1" sizeWithCells="1">
                  <from>
                    <xdr:col>4</xdr:col>
                    <xdr:colOff>1095375</xdr:colOff>
                    <xdr:row>124</xdr:row>
                    <xdr:rowOff>152400</xdr:rowOff>
                  </from>
                  <to>
                    <xdr:col>5</xdr:col>
                    <xdr:colOff>1419225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49" r:id="rId403" name="Scroll Bar 19149">
              <controlPr defaultSize="0" autoPict="0">
                <anchor moveWithCells="1" sizeWithCells="1">
                  <from>
                    <xdr:col>4</xdr:col>
                    <xdr:colOff>1095375</xdr:colOff>
                    <xdr:row>125</xdr:row>
                    <xdr:rowOff>152400</xdr:rowOff>
                  </from>
                  <to>
                    <xdr:col>5</xdr:col>
                    <xdr:colOff>1419225</xdr:colOff>
                    <xdr:row>126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50" r:id="rId404" name="Scroll Bar 19150">
              <controlPr defaultSize="0" autoPict="0">
                <anchor moveWithCells="1" sizeWithCells="1">
                  <from>
                    <xdr:col>4</xdr:col>
                    <xdr:colOff>1095375</xdr:colOff>
                    <xdr:row>126</xdr:row>
                    <xdr:rowOff>142875</xdr:rowOff>
                  </from>
                  <to>
                    <xdr:col>5</xdr:col>
                    <xdr:colOff>1419225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51" r:id="rId405" name="Scroll Bar 19151">
              <controlPr defaultSize="0" autoPict="0">
                <anchor moveWithCells="1" sizeWithCells="1">
                  <from>
                    <xdr:col>4</xdr:col>
                    <xdr:colOff>1095375</xdr:colOff>
                    <xdr:row>127</xdr:row>
                    <xdr:rowOff>152400</xdr:rowOff>
                  </from>
                  <to>
                    <xdr:col>5</xdr:col>
                    <xdr:colOff>1419225</xdr:colOff>
                    <xdr:row>128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52" r:id="rId406" name="Scroll Bar 19152">
              <controlPr defaultSize="0" autoPict="0">
                <anchor moveWithCells="1" sizeWithCells="1">
                  <from>
                    <xdr:col>4</xdr:col>
                    <xdr:colOff>1095375</xdr:colOff>
                    <xdr:row>128</xdr:row>
                    <xdr:rowOff>152400</xdr:rowOff>
                  </from>
                  <to>
                    <xdr:col>5</xdr:col>
                    <xdr:colOff>1419225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53" r:id="rId407" name="Scroll Bar 19153">
              <controlPr defaultSize="0" autoPict="0">
                <anchor moveWithCells="1" sizeWithCells="1">
                  <from>
                    <xdr:col>2</xdr:col>
                    <xdr:colOff>66675</xdr:colOff>
                    <xdr:row>170</xdr:row>
                    <xdr:rowOff>9525</xdr:rowOff>
                  </from>
                  <to>
                    <xdr:col>2</xdr:col>
                    <xdr:colOff>1400175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54" r:id="rId408" name="Scroll Bar 19154">
              <controlPr defaultSize="0" autoPict="0">
                <anchor moveWithCells="1" sizeWithCells="1">
                  <from>
                    <xdr:col>2</xdr:col>
                    <xdr:colOff>66675</xdr:colOff>
                    <xdr:row>171</xdr:row>
                    <xdr:rowOff>9525</xdr:rowOff>
                  </from>
                  <to>
                    <xdr:col>2</xdr:col>
                    <xdr:colOff>1400175</xdr:colOff>
                    <xdr:row>171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55" r:id="rId409" name="Scroll Bar 19155">
              <controlPr defaultSize="0" autoPict="0">
                <anchor moveWithCells="1" sizeWithCells="1">
                  <from>
                    <xdr:col>2</xdr:col>
                    <xdr:colOff>66675</xdr:colOff>
                    <xdr:row>172</xdr:row>
                    <xdr:rowOff>0</xdr:rowOff>
                  </from>
                  <to>
                    <xdr:col>2</xdr:col>
                    <xdr:colOff>1400175</xdr:colOff>
                    <xdr:row>172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56" r:id="rId410" name="Scroll Bar 19156">
              <controlPr defaultSize="0" autoPict="0">
                <anchor moveWithCells="1" sizeWithCells="1">
                  <from>
                    <xdr:col>2</xdr:col>
                    <xdr:colOff>66675</xdr:colOff>
                    <xdr:row>173</xdr:row>
                    <xdr:rowOff>0</xdr:rowOff>
                  </from>
                  <to>
                    <xdr:col>2</xdr:col>
                    <xdr:colOff>1400175</xdr:colOff>
                    <xdr:row>173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57" r:id="rId411" name="Scroll Bar 19157">
              <controlPr defaultSize="0" autoPict="0">
                <anchor moveWithCells="1" sizeWithCells="1">
                  <from>
                    <xdr:col>2</xdr:col>
                    <xdr:colOff>66675</xdr:colOff>
                    <xdr:row>174</xdr:row>
                    <xdr:rowOff>0</xdr:rowOff>
                  </from>
                  <to>
                    <xdr:col>2</xdr:col>
                    <xdr:colOff>1400175</xdr:colOff>
                    <xdr:row>174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58" r:id="rId412" name="Scroll Bar 19158">
              <controlPr defaultSize="0" autoPict="0">
                <anchor moveWithCells="1" sizeWithCells="1">
                  <from>
                    <xdr:col>2</xdr:col>
                    <xdr:colOff>66675</xdr:colOff>
                    <xdr:row>175</xdr:row>
                    <xdr:rowOff>9525</xdr:rowOff>
                  </from>
                  <to>
                    <xdr:col>2</xdr:col>
                    <xdr:colOff>1400175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59" r:id="rId413" name="Scroll Bar 19159">
              <controlPr defaultSize="0" autoPict="0">
                <anchor moveWithCells="1" sizeWithCells="1">
                  <from>
                    <xdr:col>2</xdr:col>
                    <xdr:colOff>66675</xdr:colOff>
                    <xdr:row>176</xdr:row>
                    <xdr:rowOff>9525</xdr:rowOff>
                  </from>
                  <to>
                    <xdr:col>2</xdr:col>
                    <xdr:colOff>1400175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60" r:id="rId414" name="Scroll Bar 19160">
              <controlPr defaultSize="0" autoPict="0">
                <anchor moveWithCells="1" sizeWithCells="1">
                  <from>
                    <xdr:col>4</xdr:col>
                    <xdr:colOff>1095375</xdr:colOff>
                    <xdr:row>170</xdr:row>
                    <xdr:rowOff>0</xdr:rowOff>
                  </from>
                  <to>
                    <xdr:col>5</xdr:col>
                    <xdr:colOff>1419225</xdr:colOff>
                    <xdr:row>170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61" r:id="rId415" name="Scroll Bar 19161">
              <controlPr defaultSize="0" autoPict="0">
                <anchor moveWithCells="1" sizeWithCells="1">
                  <from>
                    <xdr:col>4</xdr:col>
                    <xdr:colOff>1095375</xdr:colOff>
                    <xdr:row>170</xdr:row>
                    <xdr:rowOff>152400</xdr:rowOff>
                  </from>
                  <to>
                    <xdr:col>5</xdr:col>
                    <xdr:colOff>1419225</xdr:colOff>
                    <xdr:row>171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62" r:id="rId416" name="Scroll Bar 19162">
              <controlPr defaultSize="0" autoPict="0">
                <anchor moveWithCells="1" sizeWithCells="1">
                  <from>
                    <xdr:col>4</xdr:col>
                    <xdr:colOff>1095375</xdr:colOff>
                    <xdr:row>171</xdr:row>
                    <xdr:rowOff>152400</xdr:rowOff>
                  </from>
                  <to>
                    <xdr:col>5</xdr:col>
                    <xdr:colOff>1419225</xdr:colOff>
                    <xdr:row>172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63" r:id="rId417" name="Scroll Bar 19163">
              <controlPr defaultSize="0" autoPict="0">
                <anchor moveWithCells="1" sizeWithCells="1">
                  <from>
                    <xdr:col>4</xdr:col>
                    <xdr:colOff>1095375</xdr:colOff>
                    <xdr:row>172</xdr:row>
                    <xdr:rowOff>142875</xdr:rowOff>
                  </from>
                  <to>
                    <xdr:col>5</xdr:col>
                    <xdr:colOff>1419225</xdr:colOff>
                    <xdr:row>173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64" r:id="rId418" name="Scroll Bar 19164">
              <controlPr defaultSize="0" autoPict="0">
                <anchor moveWithCells="1" sizeWithCells="1">
                  <from>
                    <xdr:col>4</xdr:col>
                    <xdr:colOff>1095375</xdr:colOff>
                    <xdr:row>173</xdr:row>
                    <xdr:rowOff>152400</xdr:rowOff>
                  </from>
                  <to>
                    <xdr:col>5</xdr:col>
                    <xdr:colOff>1419225</xdr:colOff>
                    <xdr:row>174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65" r:id="rId419" name="Scroll Bar 19165">
              <controlPr defaultSize="0" autoPict="0">
                <anchor moveWithCells="1" sizeWithCells="1">
                  <from>
                    <xdr:col>4</xdr:col>
                    <xdr:colOff>1095375</xdr:colOff>
                    <xdr:row>174</xdr:row>
                    <xdr:rowOff>152400</xdr:rowOff>
                  </from>
                  <to>
                    <xdr:col>5</xdr:col>
                    <xdr:colOff>1419225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66" r:id="rId420" name="Scroll Bar 19166">
              <controlPr defaultSize="0" autoPict="0">
                <anchor moveWithCells="1" sizeWithCells="1">
                  <from>
                    <xdr:col>4</xdr:col>
                    <xdr:colOff>1095375</xdr:colOff>
                    <xdr:row>175</xdr:row>
                    <xdr:rowOff>152400</xdr:rowOff>
                  </from>
                  <to>
                    <xdr:col>5</xdr:col>
                    <xdr:colOff>1419225</xdr:colOff>
                    <xdr:row>176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67" r:id="rId421" name="Scroll Bar 19167">
              <controlPr defaultSize="0" autoPict="0">
                <anchor moveWithCells="1" sizeWithCells="1">
                  <from>
                    <xdr:col>2</xdr:col>
                    <xdr:colOff>66675</xdr:colOff>
                    <xdr:row>85</xdr:row>
                    <xdr:rowOff>9525</xdr:rowOff>
                  </from>
                  <to>
                    <xdr:col>2</xdr:col>
                    <xdr:colOff>1400175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68" r:id="rId422" name="Scroll Bar 19168">
              <controlPr defaultSize="0" autoPict="0">
                <anchor moveWithCells="1" sizeWithCells="1">
                  <from>
                    <xdr:col>4</xdr:col>
                    <xdr:colOff>1095375</xdr:colOff>
                    <xdr:row>85</xdr:row>
                    <xdr:rowOff>9525</xdr:rowOff>
                  </from>
                  <to>
                    <xdr:col>5</xdr:col>
                    <xdr:colOff>1419225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69" r:id="rId423" name="Scroll Bar 19169">
              <controlPr defaultSize="0" autoPict="0">
                <anchor moveWithCells="1" sizeWithCells="1">
                  <from>
                    <xdr:col>4</xdr:col>
                    <xdr:colOff>1095375</xdr:colOff>
                    <xdr:row>100</xdr:row>
                    <xdr:rowOff>19050</xdr:rowOff>
                  </from>
                  <to>
                    <xdr:col>5</xdr:col>
                    <xdr:colOff>1419225</xdr:colOff>
                    <xdr:row>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70" r:id="rId424" name="Scroll Bar 19170">
              <controlPr defaultSize="0" autoPict="0">
                <anchor moveWithCells="1" sizeWithCells="1">
                  <from>
                    <xdr:col>4</xdr:col>
                    <xdr:colOff>1095375</xdr:colOff>
                    <xdr:row>114</xdr:row>
                    <xdr:rowOff>142875</xdr:rowOff>
                  </from>
                  <to>
                    <xdr:col>5</xdr:col>
                    <xdr:colOff>1419225</xdr:colOff>
                    <xdr:row>115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71" r:id="rId425" name="Scroll Bar 19171">
              <controlPr defaultSize="0" autoPict="0">
                <anchor moveWithCells="1" sizeWithCells="1">
                  <from>
                    <xdr:col>4</xdr:col>
                    <xdr:colOff>1095375</xdr:colOff>
                    <xdr:row>130</xdr:row>
                    <xdr:rowOff>9525</xdr:rowOff>
                  </from>
                  <to>
                    <xdr:col>5</xdr:col>
                    <xdr:colOff>1419225</xdr:colOff>
                    <xdr:row>131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23</vt:i4>
      </vt:variant>
    </vt:vector>
  </HeadingPairs>
  <TitlesOfParts>
    <vt:vector size="25" baseType="lpstr">
      <vt:lpstr>Layout</vt:lpstr>
      <vt:lpstr>Configuration</vt:lpstr>
      <vt:lpstr>_isDegF</vt:lpstr>
      <vt:lpstr>abc</vt:lpstr>
      <vt:lpstr>AmbientTemp</vt:lpstr>
      <vt:lpstr>DampingFactorX</vt:lpstr>
      <vt:lpstr>DampingFactorY</vt:lpstr>
      <vt:lpstr>DynamicFactorTbl_X</vt:lpstr>
      <vt:lpstr>DynamicFactorTbl_Y</vt:lpstr>
      <vt:lpstr>DynamicMaxTbl_X</vt:lpstr>
      <vt:lpstr>DynamicMaxTbl_Y</vt:lpstr>
      <vt:lpstr>Fill</vt:lpstr>
      <vt:lpstr>MacroDefine</vt:lpstr>
      <vt:lpstr>ModuleID</vt:lpstr>
      <vt:lpstr>Configuration!Print_Area</vt:lpstr>
      <vt:lpstr>Layout!Print_Area</vt:lpstr>
      <vt:lpstr>Layout!Print_Titles</vt:lpstr>
      <vt:lpstr>SensorValueX</vt:lpstr>
      <vt:lpstr>SensorValueY</vt:lpstr>
      <vt:lpstr>StaticOffsetTbl_X</vt:lpstr>
      <vt:lpstr>StaticOffsetTbl_Y0</vt:lpstr>
      <vt:lpstr>StaticOffsetTbl_Y1</vt:lpstr>
      <vt:lpstr>StaticOffsetTbl_Y2</vt:lpstr>
      <vt:lpstr>StaticOffsetTbl_Y3</vt:lpstr>
      <vt:lpstr>VariableCofng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Sui, YanChun</dc:creator>
  <cp:lastModifiedBy>Client Service Account (hzh1_csa06)</cp:lastModifiedBy>
  <cp:lastPrinted>2007-01-18T02:53:31Z</cp:lastPrinted>
  <dcterms:created xsi:type="dcterms:W3CDTF">2003-02-27T09:34:48Z</dcterms:created>
  <dcterms:modified xsi:type="dcterms:W3CDTF">2016-10-11T07:28:05Z</dcterms:modified>
</cp:coreProperties>
</file>